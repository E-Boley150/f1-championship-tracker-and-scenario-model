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3ee6083a630dad4/Documents/"/>
    </mc:Choice>
  </mc:AlternateContent>
  <xr:revisionPtr revIDLastSave="1350" documentId="8_{75E99248-D14D-4C4F-AB99-B7AADEEB1DE1}" xr6:coauthVersionLast="47" xr6:coauthVersionMax="47" xr10:uidLastSave="{7132C07C-291C-4287-9E36-FEBA9611D38F}"/>
  <bookViews>
    <workbookView xWindow="-108" yWindow="-108" windowWidth="23256" windowHeight="12456" firstSheet="1" activeTab="1" xr2:uid="{D3B98087-E543-4FEF-BD88-51BD634FA9D6}"/>
  </bookViews>
  <sheets>
    <sheet name="Main Page" sheetId="3" r:id="rId1"/>
    <sheet name="Drivers' Standings" sheetId="4" r:id="rId2"/>
    <sheet name="Constructors Standings" sheetId="6" r:id="rId3"/>
    <sheet name="Race Resuts" sheetId="1" r:id="rId4"/>
    <sheet name="Sprint Race Results" sheetId="7" r:id="rId5"/>
    <sheet name="Dashboard Data" sheetId="8" r:id="rId6"/>
    <sheet name="Points Refrence" sheetId="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" i="4" l="1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" i="4"/>
  <c r="C8" i="6"/>
  <c r="C11" i="6"/>
  <c r="BB3" i="8"/>
  <c r="BB4" i="8"/>
  <c r="BB5" i="8"/>
  <c r="BB6" i="8"/>
  <c r="BB7" i="8"/>
  <c r="BB8" i="8"/>
  <c r="BB9" i="8"/>
  <c r="BB10" i="8"/>
  <c r="BB11" i="8"/>
  <c r="BB12" i="8"/>
  <c r="BB13" i="8"/>
  <c r="BB14" i="8"/>
  <c r="BB15" i="8"/>
  <c r="BB16" i="8"/>
  <c r="BB17" i="8"/>
  <c r="BB18" i="8"/>
  <c r="BB19" i="8"/>
  <c r="BB20" i="8"/>
  <c r="BB21" i="8"/>
  <c r="BB22" i="8"/>
  <c r="BB23" i="8"/>
  <c r="BB2" i="8"/>
  <c r="AB6" i="8"/>
  <c r="AB7" i="8"/>
  <c r="AB8" i="8"/>
  <c r="AB9" i="8"/>
  <c r="AB5" i="8"/>
  <c r="T3" i="4"/>
  <c r="T4" i="4"/>
  <c r="T5" i="4"/>
  <c r="T6" i="4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" i="4"/>
  <c r="P2" i="4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" i="4"/>
  <c r="G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" i="4"/>
  <c r="B30" i="7"/>
  <c r="C2" i="4"/>
  <c r="B2" i="8" s="1"/>
  <c r="AB3" i="6"/>
  <c r="AB4" i="6"/>
  <c r="AB5" i="6"/>
  <c r="AB6" i="6"/>
  <c r="AB7" i="6"/>
  <c r="AB8" i="6"/>
  <c r="AB9" i="6"/>
  <c r="AB10" i="6"/>
  <c r="AB11" i="6"/>
  <c r="AB12" i="6"/>
  <c r="AB2" i="6"/>
  <c r="AD3" i="4"/>
  <c r="AD4" i="4"/>
  <c r="AD5" i="4"/>
  <c r="AD6" i="4"/>
  <c r="AD7" i="4"/>
  <c r="AD8" i="4"/>
  <c r="AD9" i="4"/>
  <c r="AD10" i="4"/>
  <c r="AD11" i="4"/>
  <c r="AD12" i="4"/>
  <c r="AD13" i="4"/>
  <c r="AD14" i="4"/>
  <c r="AD15" i="4"/>
  <c r="AD16" i="4"/>
  <c r="AD17" i="4"/>
  <c r="AD18" i="4"/>
  <c r="AD19" i="4"/>
  <c r="AD20" i="4"/>
  <c r="AD21" i="4"/>
  <c r="AD22" i="4"/>
  <c r="AD23" i="4"/>
  <c r="AD2" i="4"/>
  <c r="Z23" i="4"/>
  <c r="Y23" i="4"/>
  <c r="X23" i="4"/>
  <c r="W23" i="4"/>
  <c r="V23" i="4"/>
  <c r="U23" i="4"/>
  <c r="S23" i="4"/>
  <c r="R23" i="4"/>
  <c r="Q23" i="4"/>
  <c r="O23" i="4"/>
  <c r="N23" i="4"/>
  <c r="L23" i="4"/>
  <c r="K23" i="4"/>
  <c r="J23" i="4"/>
  <c r="G23" i="4"/>
  <c r="F23" i="4"/>
  <c r="E23" i="4"/>
  <c r="C23" i="4"/>
  <c r="B23" i="8" s="1"/>
  <c r="C23" i="8" s="1"/>
  <c r="D23" i="8" s="1"/>
  <c r="E23" i="8" s="1"/>
  <c r="F23" i="8" s="1"/>
  <c r="G23" i="8" s="1"/>
  <c r="H23" i="8" s="1"/>
  <c r="I23" i="8" s="1"/>
  <c r="J23" i="8" s="1"/>
  <c r="K23" i="8" s="1"/>
  <c r="L23" i="8" s="1"/>
  <c r="M23" i="8" s="1"/>
  <c r="N23" i="8" s="1"/>
  <c r="O23" i="8" s="1"/>
  <c r="P23" i="8" s="1"/>
  <c r="Q23" i="8" s="1"/>
  <c r="R23" i="8" s="1"/>
  <c r="S23" i="8" s="1"/>
  <c r="T23" i="8" s="1"/>
  <c r="U23" i="8" s="1"/>
  <c r="V23" i="8" s="1"/>
  <c r="W23" i="8" s="1"/>
  <c r="X23" i="8" s="1"/>
  <c r="Y23" i="8" s="1"/>
  <c r="BC23" i="8" s="1"/>
  <c r="Z22" i="4"/>
  <c r="Y22" i="4"/>
  <c r="X22" i="4"/>
  <c r="W22" i="4"/>
  <c r="V22" i="4"/>
  <c r="U22" i="4"/>
  <c r="S22" i="4"/>
  <c r="R22" i="4"/>
  <c r="Q22" i="4"/>
  <c r="O22" i="4"/>
  <c r="N22" i="4"/>
  <c r="L22" i="4"/>
  <c r="K22" i="4"/>
  <c r="J22" i="4"/>
  <c r="G22" i="4"/>
  <c r="F22" i="4"/>
  <c r="E22" i="4"/>
  <c r="C22" i="4"/>
  <c r="B22" i="8" s="1"/>
  <c r="C22" i="8" s="1"/>
  <c r="Z21" i="4"/>
  <c r="Y21" i="4"/>
  <c r="X21" i="4"/>
  <c r="W21" i="4"/>
  <c r="V21" i="4"/>
  <c r="U21" i="4"/>
  <c r="S21" i="4"/>
  <c r="R21" i="4"/>
  <c r="Q21" i="4"/>
  <c r="O21" i="4"/>
  <c r="N21" i="4"/>
  <c r="L21" i="4"/>
  <c r="K21" i="4"/>
  <c r="J21" i="4"/>
  <c r="G21" i="4"/>
  <c r="F21" i="4"/>
  <c r="E21" i="4"/>
  <c r="C21" i="4"/>
  <c r="B21" i="8" s="1"/>
  <c r="C21" i="8" s="1"/>
  <c r="Z20" i="4"/>
  <c r="Y11" i="6" s="1"/>
  <c r="Y20" i="4"/>
  <c r="X11" i="6" s="1"/>
  <c r="X20" i="4"/>
  <c r="W11" i="6" s="1"/>
  <c r="W20" i="4"/>
  <c r="V11" i="6" s="1"/>
  <c r="V20" i="4"/>
  <c r="U11" i="6" s="1"/>
  <c r="U20" i="4"/>
  <c r="T11" i="6" s="1"/>
  <c r="S11" i="6"/>
  <c r="S20" i="4"/>
  <c r="R11" i="6" s="1"/>
  <c r="R20" i="4"/>
  <c r="Q11" i="6" s="1"/>
  <c r="Q20" i="4"/>
  <c r="P11" i="6" s="1"/>
  <c r="O11" i="6"/>
  <c r="O20" i="4"/>
  <c r="N11" i="6" s="1"/>
  <c r="N20" i="4"/>
  <c r="M11" i="6" s="1"/>
  <c r="L11" i="6"/>
  <c r="L20" i="4"/>
  <c r="K11" i="6" s="1"/>
  <c r="K20" i="4"/>
  <c r="J11" i="6" s="1"/>
  <c r="J20" i="4"/>
  <c r="I11" i="6" s="1"/>
  <c r="H11" i="6"/>
  <c r="G11" i="6"/>
  <c r="G20" i="4"/>
  <c r="F11" i="6" s="1"/>
  <c r="F20" i="4"/>
  <c r="E11" i="6" s="1"/>
  <c r="E20" i="4"/>
  <c r="D11" i="6" s="1"/>
  <c r="C20" i="4"/>
  <c r="Z19" i="4"/>
  <c r="Y19" i="4"/>
  <c r="X19" i="4"/>
  <c r="W19" i="4"/>
  <c r="V19" i="4"/>
  <c r="U19" i="4"/>
  <c r="S19" i="4"/>
  <c r="R19" i="4"/>
  <c r="Q19" i="4"/>
  <c r="O19" i="4"/>
  <c r="N19" i="4"/>
  <c r="L19" i="4"/>
  <c r="K19" i="4"/>
  <c r="J19" i="4"/>
  <c r="G19" i="4"/>
  <c r="F19" i="4"/>
  <c r="E19" i="4"/>
  <c r="C19" i="4"/>
  <c r="B19" i="8" s="1"/>
  <c r="C19" i="8" s="1"/>
  <c r="Z18" i="4"/>
  <c r="Y18" i="4"/>
  <c r="X18" i="4"/>
  <c r="W18" i="4"/>
  <c r="V18" i="4"/>
  <c r="U18" i="4"/>
  <c r="S18" i="4"/>
  <c r="R18" i="4"/>
  <c r="Q18" i="4"/>
  <c r="O18" i="4"/>
  <c r="N18" i="4"/>
  <c r="L18" i="4"/>
  <c r="K18" i="4"/>
  <c r="J18" i="4"/>
  <c r="G18" i="4"/>
  <c r="F18" i="4"/>
  <c r="E18" i="4"/>
  <c r="C18" i="4"/>
  <c r="B18" i="8" s="1"/>
  <c r="C18" i="8" s="1"/>
  <c r="Z17" i="4"/>
  <c r="Y17" i="4"/>
  <c r="X17" i="4"/>
  <c r="W17" i="4"/>
  <c r="V17" i="4"/>
  <c r="U17" i="4"/>
  <c r="S17" i="4"/>
  <c r="R17" i="4"/>
  <c r="Q17" i="4"/>
  <c r="O17" i="4"/>
  <c r="N17" i="4"/>
  <c r="L17" i="4"/>
  <c r="K17" i="4"/>
  <c r="J17" i="4"/>
  <c r="G17" i="4"/>
  <c r="F17" i="4"/>
  <c r="E17" i="4"/>
  <c r="C17" i="4"/>
  <c r="B17" i="8" s="1"/>
  <c r="C17" i="8" s="1"/>
  <c r="Z16" i="4"/>
  <c r="Y16" i="4"/>
  <c r="X16" i="4"/>
  <c r="W16" i="4"/>
  <c r="V16" i="4"/>
  <c r="U16" i="4"/>
  <c r="S16" i="4"/>
  <c r="R16" i="4"/>
  <c r="Q16" i="4"/>
  <c r="O16" i="4"/>
  <c r="N16" i="4"/>
  <c r="L16" i="4"/>
  <c r="K16" i="4"/>
  <c r="J16" i="4"/>
  <c r="G16" i="4"/>
  <c r="F16" i="4"/>
  <c r="E16" i="4"/>
  <c r="C16" i="4"/>
  <c r="B16" i="8" s="1"/>
  <c r="Z15" i="4"/>
  <c r="Y15" i="4"/>
  <c r="X15" i="4"/>
  <c r="W15" i="4"/>
  <c r="V15" i="4"/>
  <c r="U15" i="4"/>
  <c r="S15" i="4"/>
  <c r="R15" i="4"/>
  <c r="Q15" i="4"/>
  <c r="O15" i="4"/>
  <c r="N15" i="4"/>
  <c r="L15" i="4"/>
  <c r="K15" i="4"/>
  <c r="J15" i="4"/>
  <c r="G15" i="4"/>
  <c r="F15" i="4"/>
  <c r="E15" i="4"/>
  <c r="C15" i="4"/>
  <c r="B15" i="8" s="1"/>
  <c r="Z14" i="4"/>
  <c r="Y14" i="4"/>
  <c r="X14" i="4"/>
  <c r="W14" i="4"/>
  <c r="V14" i="4"/>
  <c r="U14" i="4"/>
  <c r="S14" i="4"/>
  <c r="R14" i="4"/>
  <c r="Q14" i="4"/>
  <c r="O14" i="4"/>
  <c r="N14" i="4"/>
  <c r="L14" i="4"/>
  <c r="K14" i="4"/>
  <c r="J14" i="4"/>
  <c r="G14" i="4"/>
  <c r="F14" i="4"/>
  <c r="E14" i="4"/>
  <c r="C14" i="4"/>
  <c r="B14" i="8" s="1"/>
  <c r="C14" i="8" s="1"/>
  <c r="D14" i="8" s="1"/>
  <c r="E14" i="8" s="1"/>
  <c r="F14" i="8" s="1"/>
  <c r="Z13" i="4"/>
  <c r="Y13" i="4"/>
  <c r="X13" i="4"/>
  <c r="W13" i="4"/>
  <c r="V13" i="4"/>
  <c r="U13" i="4"/>
  <c r="S13" i="4"/>
  <c r="R13" i="4"/>
  <c r="Q13" i="4"/>
  <c r="O13" i="4"/>
  <c r="N13" i="4"/>
  <c r="L13" i="4"/>
  <c r="K13" i="4"/>
  <c r="J13" i="4"/>
  <c r="G13" i="4"/>
  <c r="F13" i="4"/>
  <c r="E13" i="4"/>
  <c r="C13" i="4"/>
  <c r="B13" i="8" s="1"/>
  <c r="C13" i="8" s="1"/>
  <c r="D13" i="8" s="1"/>
  <c r="E13" i="8" s="1"/>
  <c r="F13" i="8" s="1"/>
  <c r="Z12" i="4"/>
  <c r="Y12" i="4"/>
  <c r="X12" i="4"/>
  <c r="W12" i="4"/>
  <c r="V12" i="4"/>
  <c r="U12" i="4"/>
  <c r="S12" i="4"/>
  <c r="R12" i="4"/>
  <c r="Q12" i="4"/>
  <c r="O12" i="4"/>
  <c r="N12" i="4"/>
  <c r="L12" i="4"/>
  <c r="K12" i="4"/>
  <c r="J12" i="4"/>
  <c r="G12" i="4"/>
  <c r="F12" i="4"/>
  <c r="E12" i="4"/>
  <c r="C12" i="4"/>
  <c r="B12" i="8" s="1"/>
  <c r="C12" i="8" s="1"/>
  <c r="D12" i="8" s="1"/>
  <c r="E12" i="8" s="1"/>
  <c r="F12" i="8" s="1"/>
  <c r="Z11" i="4"/>
  <c r="Y11" i="4"/>
  <c r="X11" i="4"/>
  <c r="W11" i="4"/>
  <c r="V11" i="4"/>
  <c r="U11" i="4"/>
  <c r="S11" i="4"/>
  <c r="R11" i="4"/>
  <c r="Q11" i="4"/>
  <c r="O11" i="4"/>
  <c r="N11" i="4"/>
  <c r="L11" i="4"/>
  <c r="K11" i="4"/>
  <c r="J11" i="4"/>
  <c r="G11" i="4"/>
  <c r="F11" i="4"/>
  <c r="E11" i="4"/>
  <c r="C11" i="4"/>
  <c r="B11" i="8" s="1"/>
  <c r="C11" i="8" s="1"/>
  <c r="D11" i="8" s="1"/>
  <c r="E11" i="8" s="1"/>
  <c r="F11" i="8" s="1"/>
  <c r="Z10" i="4"/>
  <c r="Y10" i="4"/>
  <c r="X10" i="4"/>
  <c r="W10" i="4"/>
  <c r="V10" i="4"/>
  <c r="U10" i="4"/>
  <c r="S10" i="4"/>
  <c r="R10" i="4"/>
  <c r="Q10" i="4"/>
  <c r="O10" i="4"/>
  <c r="N10" i="4"/>
  <c r="L10" i="4"/>
  <c r="K10" i="4"/>
  <c r="J10" i="4"/>
  <c r="G10" i="4"/>
  <c r="F10" i="4"/>
  <c r="E10" i="4"/>
  <c r="C10" i="4"/>
  <c r="B10" i="8" s="1"/>
  <c r="C10" i="8" s="1"/>
  <c r="D10" i="8" s="1"/>
  <c r="E10" i="8" s="1"/>
  <c r="F10" i="8" s="1"/>
  <c r="Z9" i="4"/>
  <c r="Y9" i="4"/>
  <c r="X9" i="4"/>
  <c r="W9" i="4"/>
  <c r="V9" i="4"/>
  <c r="U9" i="4"/>
  <c r="S9" i="4"/>
  <c r="R9" i="4"/>
  <c r="Q9" i="4"/>
  <c r="O9" i="4"/>
  <c r="N9" i="4"/>
  <c r="L9" i="4"/>
  <c r="K9" i="4"/>
  <c r="J9" i="4"/>
  <c r="G9" i="4"/>
  <c r="F9" i="4"/>
  <c r="E9" i="4"/>
  <c r="C9" i="4"/>
  <c r="B9" i="8" s="1"/>
  <c r="C9" i="8" s="1"/>
  <c r="D9" i="8" s="1"/>
  <c r="E9" i="8" s="1"/>
  <c r="F9" i="8" s="1"/>
  <c r="Z8" i="4"/>
  <c r="Y5" i="6" s="1"/>
  <c r="Y8" i="4"/>
  <c r="X5" i="6" s="1"/>
  <c r="X8" i="4"/>
  <c r="W5" i="6" s="1"/>
  <c r="W8" i="4"/>
  <c r="V5" i="6" s="1"/>
  <c r="V8" i="4"/>
  <c r="U5" i="6" s="1"/>
  <c r="U8" i="4"/>
  <c r="T5" i="6" s="1"/>
  <c r="S8" i="4"/>
  <c r="R5" i="6" s="1"/>
  <c r="R8" i="4"/>
  <c r="Q5" i="6" s="1"/>
  <c r="Q8" i="4"/>
  <c r="P5" i="6" s="1"/>
  <c r="O8" i="4"/>
  <c r="N5" i="6" s="1"/>
  <c r="N8" i="4"/>
  <c r="M5" i="6" s="1"/>
  <c r="L8" i="4"/>
  <c r="K5" i="6" s="1"/>
  <c r="K8" i="4"/>
  <c r="J5" i="6" s="1"/>
  <c r="J8" i="4"/>
  <c r="I5" i="6" s="1"/>
  <c r="G8" i="4"/>
  <c r="F5" i="6" s="1"/>
  <c r="F8" i="4"/>
  <c r="E5" i="6" s="1"/>
  <c r="E8" i="4"/>
  <c r="D5" i="6" s="1"/>
  <c r="C8" i="4"/>
  <c r="B8" i="8" s="1"/>
  <c r="Z7" i="4"/>
  <c r="Y7" i="4"/>
  <c r="X7" i="4"/>
  <c r="W7" i="4"/>
  <c r="V7" i="4"/>
  <c r="U7" i="4"/>
  <c r="S7" i="4"/>
  <c r="R7" i="4"/>
  <c r="Q7" i="4"/>
  <c r="O7" i="4"/>
  <c r="N7" i="4"/>
  <c r="L7" i="4"/>
  <c r="K7" i="4"/>
  <c r="J7" i="4"/>
  <c r="G7" i="4"/>
  <c r="F7" i="4"/>
  <c r="E7" i="4"/>
  <c r="C7" i="4"/>
  <c r="B7" i="8" s="1"/>
  <c r="C7" i="8" s="1"/>
  <c r="D7" i="8" s="1"/>
  <c r="E7" i="8" s="1"/>
  <c r="F7" i="8" s="1"/>
  <c r="Z6" i="4"/>
  <c r="Y4" i="6" s="1"/>
  <c r="Y6" i="4"/>
  <c r="X4" i="6" s="1"/>
  <c r="X6" i="4"/>
  <c r="W4" i="6" s="1"/>
  <c r="W6" i="4"/>
  <c r="V6" i="4"/>
  <c r="U6" i="4"/>
  <c r="S4" i="6"/>
  <c r="S6" i="4"/>
  <c r="R6" i="4"/>
  <c r="Q6" i="4"/>
  <c r="O4" i="6"/>
  <c r="O6" i="4"/>
  <c r="N6" i="4"/>
  <c r="L4" i="6"/>
  <c r="L6" i="4"/>
  <c r="K6" i="4"/>
  <c r="J6" i="4"/>
  <c r="G6" i="4"/>
  <c r="F6" i="4"/>
  <c r="E6" i="4"/>
  <c r="C6" i="4"/>
  <c r="B6" i="8" s="1"/>
  <c r="C6" i="8" s="1"/>
  <c r="D6" i="8" s="1"/>
  <c r="E6" i="8" s="1"/>
  <c r="F6" i="8" s="1"/>
  <c r="Z5" i="4"/>
  <c r="Y5" i="4"/>
  <c r="X5" i="4"/>
  <c r="W5" i="4"/>
  <c r="V5" i="4"/>
  <c r="U5" i="4"/>
  <c r="S5" i="4"/>
  <c r="R5" i="4"/>
  <c r="Q5" i="4"/>
  <c r="O5" i="4"/>
  <c r="N5" i="4"/>
  <c r="L5" i="4"/>
  <c r="K5" i="4"/>
  <c r="J5" i="4"/>
  <c r="G5" i="4"/>
  <c r="F5" i="4"/>
  <c r="E5" i="4"/>
  <c r="C5" i="4"/>
  <c r="B5" i="8" s="1"/>
  <c r="C5" i="8" s="1"/>
  <c r="Z4" i="4"/>
  <c r="Y3" i="6" s="1"/>
  <c r="Y4" i="4"/>
  <c r="X3" i="6" s="1"/>
  <c r="X4" i="4"/>
  <c r="W3" i="6" s="1"/>
  <c r="W4" i="4"/>
  <c r="V3" i="6" s="1"/>
  <c r="V4" i="4"/>
  <c r="U3" i="6" s="1"/>
  <c r="U4" i="4"/>
  <c r="S4" i="4"/>
  <c r="R4" i="4"/>
  <c r="Q4" i="4"/>
  <c r="O4" i="4"/>
  <c r="N4" i="4"/>
  <c r="L4" i="4"/>
  <c r="K4" i="4"/>
  <c r="J4" i="4"/>
  <c r="G4" i="4"/>
  <c r="F4" i="4"/>
  <c r="E4" i="4"/>
  <c r="C4" i="4"/>
  <c r="B4" i="8" s="1"/>
  <c r="Z3" i="4"/>
  <c r="Y3" i="4"/>
  <c r="X3" i="4"/>
  <c r="W3" i="4"/>
  <c r="V3" i="4"/>
  <c r="U3" i="4"/>
  <c r="S3" i="4"/>
  <c r="R3" i="4"/>
  <c r="Q3" i="4"/>
  <c r="O3" i="4"/>
  <c r="N3" i="4"/>
  <c r="L3" i="4"/>
  <c r="K3" i="4"/>
  <c r="J3" i="4"/>
  <c r="G3" i="4"/>
  <c r="F3" i="4"/>
  <c r="E3" i="4"/>
  <c r="C3" i="4"/>
  <c r="B3" i="8" s="1"/>
  <c r="C3" i="8" s="1"/>
  <c r="D3" i="8" s="1"/>
  <c r="E3" i="8" s="1"/>
  <c r="F3" i="8" s="1"/>
  <c r="Z2" i="4"/>
  <c r="Y2" i="4"/>
  <c r="X2" i="4"/>
  <c r="W2" i="4"/>
  <c r="V2" i="4"/>
  <c r="U2" i="4"/>
  <c r="S2" i="4"/>
  <c r="R2" i="4"/>
  <c r="Q2" i="4"/>
  <c r="O2" i="4"/>
  <c r="N2" i="4"/>
  <c r="L2" i="4"/>
  <c r="K2" i="4"/>
  <c r="J2" i="4"/>
  <c r="F2" i="4"/>
  <c r="E2" i="4"/>
  <c r="C15" i="8" l="1"/>
  <c r="D15" i="8" s="1"/>
  <c r="E15" i="8" s="1"/>
  <c r="F15" i="8" s="1"/>
  <c r="G15" i="8" s="1"/>
  <c r="H15" i="8" s="1"/>
  <c r="I15" i="8" s="1"/>
  <c r="J15" i="8" s="1"/>
  <c r="K15" i="8" s="1"/>
  <c r="L15" i="8" s="1"/>
  <c r="M15" i="8" s="1"/>
  <c r="N15" i="8" s="1"/>
  <c r="O15" i="8" s="1"/>
  <c r="P15" i="8" s="1"/>
  <c r="Q15" i="8" s="1"/>
  <c r="R15" i="8" s="1"/>
  <c r="S15" i="8" s="1"/>
  <c r="T15" i="8" s="1"/>
  <c r="U15" i="8" s="1"/>
  <c r="V15" i="8" s="1"/>
  <c r="W15" i="8" s="1"/>
  <c r="X15" i="8" s="1"/>
  <c r="Y15" i="8" s="1"/>
  <c r="BC15" i="8" s="1"/>
  <c r="D5" i="8"/>
  <c r="D21" i="8"/>
  <c r="D19" i="8"/>
  <c r="E19" i="8" s="1"/>
  <c r="F19" i="8" s="1"/>
  <c r="G19" i="8" s="1"/>
  <c r="H19" i="8" s="1"/>
  <c r="I19" i="8" s="1"/>
  <c r="J19" i="8" s="1"/>
  <c r="K19" i="8" s="1"/>
  <c r="L19" i="8" s="1"/>
  <c r="M19" i="8" s="1"/>
  <c r="N19" i="8" s="1"/>
  <c r="O19" i="8" s="1"/>
  <c r="P19" i="8" s="1"/>
  <c r="Q19" i="8" s="1"/>
  <c r="R19" i="8" s="1"/>
  <c r="S19" i="8" s="1"/>
  <c r="T19" i="8" s="1"/>
  <c r="U19" i="8" s="1"/>
  <c r="V19" i="8" s="1"/>
  <c r="W19" i="8" s="1"/>
  <c r="X19" i="8" s="1"/>
  <c r="Y19" i="8" s="1"/>
  <c r="BC19" i="8" s="1"/>
  <c r="D17" i="8"/>
  <c r="E17" i="8" s="1"/>
  <c r="F17" i="8" s="1"/>
  <c r="G17" i="8" s="1"/>
  <c r="H17" i="8" s="1"/>
  <c r="I17" i="8" s="1"/>
  <c r="J17" i="8" s="1"/>
  <c r="K17" i="8" s="1"/>
  <c r="L17" i="8" s="1"/>
  <c r="M17" i="8" s="1"/>
  <c r="N17" i="8" s="1"/>
  <c r="O17" i="8" s="1"/>
  <c r="P17" i="8" s="1"/>
  <c r="Q17" i="8" s="1"/>
  <c r="R17" i="8" s="1"/>
  <c r="S17" i="8" s="1"/>
  <c r="T17" i="8" s="1"/>
  <c r="U17" i="8" s="1"/>
  <c r="V17" i="8" s="1"/>
  <c r="W17" i="8" s="1"/>
  <c r="X17" i="8" s="1"/>
  <c r="Y17" i="8" s="1"/>
  <c r="BC17" i="8" s="1"/>
  <c r="E21" i="8"/>
  <c r="F21" i="8" s="1"/>
  <c r="G21" i="8" s="1"/>
  <c r="H21" i="8" s="1"/>
  <c r="I21" i="8" s="1"/>
  <c r="J21" i="8" s="1"/>
  <c r="K21" i="8" s="1"/>
  <c r="L21" i="8" s="1"/>
  <c r="M21" i="8" s="1"/>
  <c r="N21" i="8" s="1"/>
  <c r="O21" i="8" s="1"/>
  <c r="P21" i="8" s="1"/>
  <c r="Q21" i="8" s="1"/>
  <c r="R21" i="8" s="1"/>
  <c r="S21" i="8" s="1"/>
  <c r="T21" i="8" s="1"/>
  <c r="U21" i="8" s="1"/>
  <c r="V21" i="8" s="1"/>
  <c r="W21" i="8" s="1"/>
  <c r="X21" i="8" s="1"/>
  <c r="Y21" i="8" s="1"/>
  <c r="BC21" i="8" s="1"/>
  <c r="L3" i="6"/>
  <c r="S3" i="6"/>
  <c r="G9" i="8"/>
  <c r="H9" i="8" s="1"/>
  <c r="I9" i="8" s="1"/>
  <c r="J9" i="8" s="1"/>
  <c r="K9" i="8" s="1"/>
  <c r="L9" i="8" s="1"/>
  <c r="M9" i="8" s="1"/>
  <c r="N9" i="8" s="1"/>
  <c r="O9" i="8" s="1"/>
  <c r="P9" i="8" s="1"/>
  <c r="Q9" i="8" s="1"/>
  <c r="R9" i="8" s="1"/>
  <c r="S9" i="8" s="1"/>
  <c r="T9" i="8" s="1"/>
  <c r="U9" i="8" s="1"/>
  <c r="V9" i="8" s="1"/>
  <c r="W9" i="8" s="1"/>
  <c r="X9" i="8" s="1"/>
  <c r="Y9" i="8" s="1"/>
  <c r="BC9" i="8" s="1"/>
  <c r="G7" i="8"/>
  <c r="H7" i="8" s="1"/>
  <c r="I7" i="8" s="1"/>
  <c r="J7" i="8" s="1"/>
  <c r="K7" i="8" s="1"/>
  <c r="L7" i="8" s="1"/>
  <c r="M7" i="8" s="1"/>
  <c r="N7" i="8" s="1"/>
  <c r="O7" i="8" s="1"/>
  <c r="P7" i="8" s="1"/>
  <c r="Q7" i="8" s="1"/>
  <c r="R7" i="8" s="1"/>
  <c r="S7" i="8" s="1"/>
  <c r="T7" i="8" s="1"/>
  <c r="U7" i="8" s="1"/>
  <c r="V7" i="8" s="1"/>
  <c r="W7" i="8" s="1"/>
  <c r="X7" i="8" s="1"/>
  <c r="Y7" i="8" s="1"/>
  <c r="BC7" i="8" s="1"/>
  <c r="C16" i="8"/>
  <c r="D16" i="8" s="1"/>
  <c r="E16" i="8" s="1"/>
  <c r="F16" i="8" s="1"/>
  <c r="G16" i="8" s="1"/>
  <c r="H16" i="8" s="1"/>
  <c r="I16" i="8" s="1"/>
  <c r="J16" i="8" s="1"/>
  <c r="K16" i="8" s="1"/>
  <c r="L16" i="8" s="1"/>
  <c r="M16" i="8" s="1"/>
  <c r="N16" i="8" s="1"/>
  <c r="O16" i="8" s="1"/>
  <c r="P16" i="8" s="1"/>
  <c r="Q16" i="8" s="1"/>
  <c r="R16" i="8" s="1"/>
  <c r="S16" i="8" s="1"/>
  <c r="T16" i="8" s="1"/>
  <c r="U16" i="8" s="1"/>
  <c r="V16" i="8" s="1"/>
  <c r="W16" i="8" s="1"/>
  <c r="X16" i="8" s="1"/>
  <c r="Y16" i="8" s="1"/>
  <c r="BC16" i="8" s="1"/>
  <c r="H8" i="6"/>
  <c r="G12" i="8"/>
  <c r="H12" i="8" s="1"/>
  <c r="I12" i="8" s="1"/>
  <c r="J12" i="8" s="1"/>
  <c r="K12" i="8" s="1"/>
  <c r="L12" i="8" s="1"/>
  <c r="M12" i="8" s="1"/>
  <c r="N12" i="8" s="1"/>
  <c r="O12" i="8" s="1"/>
  <c r="P12" i="8" s="1"/>
  <c r="Q12" i="8" s="1"/>
  <c r="R12" i="8" s="1"/>
  <c r="S12" i="8" s="1"/>
  <c r="T12" i="8" s="1"/>
  <c r="U12" i="8" s="1"/>
  <c r="V12" i="8" s="1"/>
  <c r="W12" i="8" s="1"/>
  <c r="X12" i="8" s="1"/>
  <c r="Y12" i="8" s="1"/>
  <c r="BC12" i="8" s="1"/>
  <c r="G11" i="8"/>
  <c r="H11" i="8" s="1"/>
  <c r="I11" i="8" s="1"/>
  <c r="J11" i="8" s="1"/>
  <c r="K11" i="8" s="1"/>
  <c r="L11" i="8" s="1"/>
  <c r="M11" i="8" s="1"/>
  <c r="N11" i="8" s="1"/>
  <c r="O11" i="8" s="1"/>
  <c r="P11" i="8" s="1"/>
  <c r="Q11" i="8" s="1"/>
  <c r="R11" i="8" s="1"/>
  <c r="S11" i="8" s="1"/>
  <c r="T11" i="8" s="1"/>
  <c r="U11" i="8" s="1"/>
  <c r="V11" i="8" s="1"/>
  <c r="W11" i="8" s="1"/>
  <c r="X11" i="8" s="1"/>
  <c r="Y11" i="8" s="1"/>
  <c r="BC11" i="8" s="1"/>
  <c r="G10" i="8"/>
  <c r="H10" i="8" s="1"/>
  <c r="I10" i="8" s="1"/>
  <c r="J10" i="8" s="1"/>
  <c r="K10" i="8" s="1"/>
  <c r="L10" i="8" s="1"/>
  <c r="M10" i="8" s="1"/>
  <c r="N10" i="8" s="1"/>
  <c r="O10" i="8" s="1"/>
  <c r="P10" i="8" s="1"/>
  <c r="Q10" i="8" s="1"/>
  <c r="R10" i="8" s="1"/>
  <c r="S10" i="8" s="1"/>
  <c r="T10" i="8" s="1"/>
  <c r="U10" i="8" s="1"/>
  <c r="V10" i="8" s="1"/>
  <c r="W10" i="8" s="1"/>
  <c r="X10" i="8" s="1"/>
  <c r="Y10" i="8" s="1"/>
  <c r="BC10" i="8" s="1"/>
  <c r="S8" i="6"/>
  <c r="O3" i="6"/>
  <c r="O8" i="6"/>
  <c r="L8" i="6"/>
  <c r="H3" i="6"/>
  <c r="G8" i="6"/>
  <c r="Y8" i="6"/>
  <c r="X8" i="6"/>
  <c r="W8" i="6"/>
  <c r="V8" i="6"/>
  <c r="U8" i="6"/>
  <c r="T8" i="6"/>
  <c r="R8" i="6"/>
  <c r="Q8" i="6"/>
  <c r="P8" i="6"/>
  <c r="N8" i="6"/>
  <c r="M8" i="6"/>
  <c r="K8" i="6"/>
  <c r="J8" i="6"/>
  <c r="I8" i="6"/>
  <c r="F8" i="6"/>
  <c r="E8" i="6"/>
  <c r="D8" i="6"/>
  <c r="G14" i="8"/>
  <c r="H14" i="8" s="1"/>
  <c r="I14" i="8" s="1"/>
  <c r="J14" i="8" s="1"/>
  <c r="K14" i="8" s="1"/>
  <c r="L14" i="8" s="1"/>
  <c r="M14" i="8" s="1"/>
  <c r="N14" i="8" s="1"/>
  <c r="O14" i="8" s="1"/>
  <c r="P14" i="8" s="1"/>
  <c r="Q14" i="8" s="1"/>
  <c r="R14" i="8" s="1"/>
  <c r="S14" i="8" s="1"/>
  <c r="T14" i="8" s="1"/>
  <c r="U14" i="8" s="1"/>
  <c r="V14" i="8" s="1"/>
  <c r="W14" i="8" s="1"/>
  <c r="X14" i="8" s="1"/>
  <c r="Y14" i="8" s="1"/>
  <c r="BC14" i="8" s="1"/>
  <c r="G13" i="8"/>
  <c r="H13" i="8" s="1"/>
  <c r="I13" i="8" s="1"/>
  <c r="J13" i="8" s="1"/>
  <c r="K13" i="8" s="1"/>
  <c r="L13" i="8" s="1"/>
  <c r="M13" i="8" s="1"/>
  <c r="N13" i="8" s="1"/>
  <c r="O13" i="8" s="1"/>
  <c r="P13" i="8" s="1"/>
  <c r="Q13" i="8" s="1"/>
  <c r="R13" i="8" s="1"/>
  <c r="S13" i="8" s="1"/>
  <c r="T13" i="8" s="1"/>
  <c r="U13" i="8" s="1"/>
  <c r="V13" i="8" s="1"/>
  <c r="W13" i="8" s="1"/>
  <c r="X13" i="8" s="1"/>
  <c r="Y13" i="8" s="1"/>
  <c r="BC13" i="8" s="1"/>
  <c r="T3" i="6"/>
  <c r="R3" i="6"/>
  <c r="Q3" i="6"/>
  <c r="P3" i="6"/>
  <c r="N3" i="6"/>
  <c r="M3" i="6"/>
  <c r="K3" i="6"/>
  <c r="J3" i="6"/>
  <c r="I3" i="6"/>
  <c r="F3" i="6"/>
  <c r="E3" i="6"/>
  <c r="D3" i="6"/>
  <c r="G3" i="8"/>
  <c r="D22" i="8"/>
  <c r="E22" i="8" s="1"/>
  <c r="F22" i="8" s="1"/>
  <c r="G22" i="8" s="1"/>
  <c r="H22" i="8" s="1"/>
  <c r="I22" i="8" s="1"/>
  <c r="J22" i="8" s="1"/>
  <c r="K22" i="8" s="1"/>
  <c r="L22" i="8" s="1"/>
  <c r="M22" i="8" s="1"/>
  <c r="N22" i="8" s="1"/>
  <c r="O22" i="8" s="1"/>
  <c r="P22" i="8" s="1"/>
  <c r="Q22" i="8" s="1"/>
  <c r="R22" i="8" s="1"/>
  <c r="S22" i="8" s="1"/>
  <c r="T22" i="8" s="1"/>
  <c r="U22" i="8" s="1"/>
  <c r="V22" i="8" s="1"/>
  <c r="W22" i="8" s="1"/>
  <c r="X22" i="8" s="1"/>
  <c r="Y22" i="8" s="1"/>
  <c r="BC22" i="8" s="1"/>
  <c r="D18" i="8"/>
  <c r="E18" i="8" s="1"/>
  <c r="F18" i="8" s="1"/>
  <c r="G18" i="8" s="1"/>
  <c r="H18" i="8" s="1"/>
  <c r="I18" i="8" s="1"/>
  <c r="J18" i="8" s="1"/>
  <c r="K18" i="8" s="1"/>
  <c r="L18" i="8" s="1"/>
  <c r="M18" i="8" s="1"/>
  <c r="N18" i="8" s="1"/>
  <c r="O18" i="8" s="1"/>
  <c r="P18" i="8" s="1"/>
  <c r="Q18" i="8" s="1"/>
  <c r="R18" i="8" s="1"/>
  <c r="S18" i="8" s="1"/>
  <c r="T18" i="8" s="1"/>
  <c r="U18" i="8" s="1"/>
  <c r="V18" i="8" s="1"/>
  <c r="W18" i="8" s="1"/>
  <c r="X18" i="8" s="1"/>
  <c r="Y18" i="8" s="1"/>
  <c r="BC18" i="8" s="1"/>
  <c r="AC9" i="8"/>
  <c r="V4" i="6"/>
  <c r="U4" i="6"/>
  <c r="T4" i="6"/>
  <c r="R4" i="6"/>
  <c r="Q4" i="6"/>
  <c r="P4" i="6"/>
  <c r="N4" i="6"/>
  <c r="M4" i="6"/>
  <c r="K4" i="6"/>
  <c r="J4" i="6"/>
  <c r="I4" i="6"/>
  <c r="F4" i="6"/>
  <c r="E4" i="6"/>
  <c r="D4" i="6"/>
  <c r="G6" i="8"/>
  <c r="H6" i="8" s="1"/>
  <c r="I6" i="8" s="1"/>
  <c r="J6" i="8" s="1"/>
  <c r="K6" i="8" s="1"/>
  <c r="L6" i="8" s="1"/>
  <c r="M6" i="8" s="1"/>
  <c r="N6" i="8" s="1"/>
  <c r="O6" i="8" s="1"/>
  <c r="P6" i="8" s="1"/>
  <c r="Q6" i="8" s="1"/>
  <c r="R6" i="8" s="1"/>
  <c r="S6" i="8" s="1"/>
  <c r="T6" i="8" s="1"/>
  <c r="U6" i="8" s="1"/>
  <c r="V6" i="8" s="1"/>
  <c r="W6" i="8" s="1"/>
  <c r="X6" i="8" s="1"/>
  <c r="Y6" i="8" s="1"/>
  <c r="BC6" i="8" s="1"/>
  <c r="B11" i="6"/>
  <c r="B20" i="8"/>
  <c r="C20" i="8" s="1"/>
  <c r="D20" i="8" s="1"/>
  <c r="E20" i="8" s="1"/>
  <c r="F20" i="8" s="1"/>
  <c r="G20" i="8" s="1"/>
  <c r="H20" i="8" s="1"/>
  <c r="I20" i="8" s="1"/>
  <c r="J20" i="8" s="1"/>
  <c r="K20" i="8" s="1"/>
  <c r="L20" i="8" s="1"/>
  <c r="M20" i="8" s="1"/>
  <c r="N20" i="8" s="1"/>
  <c r="O20" i="8" s="1"/>
  <c r="P20" i="8" s="1"/>
  <c r="Q20" i="8" s="1"/>
  <c r="R20" i="8" s="1"/>
  <c r="S20" i="8" s="1"/>
  <c r="T20" i="8" s="1"/>
  <c r="U20" i="8" s="1"/>
  <c r="V20" i="8" s="1"/>
  <c r="W20" i="8" s="1"/>
  <c r="X20" i="8" s="1"/>
  <c r="Y20" i="8" s="1"/>
  <c r="BC20" i="8" s="1"/>
  <c r="C2" i="8"/>
  <c r="AC7" i="8"/>
  <c r="AD7" i="8"/>
  <c r="C4" i="8"/>
  <c r="AC6" i="8"/>
  <c r="C8" i="8"/>
  <c r="AC8" i="8"/>
  <c r="AC5" i="8"/>
  <c r="AD5" i="8"/>
  <c r="AG5" i="8"/>
  <c r="AE5" i="8"/>
  <c r="AF5" i="8"/>
  <c r="G3" i="6"/>
  <c r="H4" i="6"/>
  <c r="G4" i="6"/>
  <c r="O5" i="6"/>
  <c r="L5" i="6"/>
  <c r="G5" i="6"/>
  <c r="C4" i="6"/>
  <c r="H5" i="6"/>
  <c r="C3" i="6"/>
  <c r="C5" i="6"/>
  <c r="S5" i="6"/>
  <c r="AB9" i="4"/>
  <c r="AB14" i="4"/>
  <c r="AB7" i="4"/>
  <c r="AB21" i="4"/>
  <c r="AB18" i="4"/>
  <c r="AB5" i="4"/>
  <c r="AB12" i="4"/>
  <c r="AB17" i="4"/>
  <c r="AB22" i="4"/>
  <c r="AB2" i="4"/>
  <c r="Y12" i="6"/>
  <c r="K9" i="6"/>
  <c r="J9" i="6"/>
  <c r="I9" i="6"/>
  <c r="H9" i="6"/>
  <c r="G9" i="6"/>
  <c r="F9" i="6"/>
  <c r="E9" i="6"/>
  <c r="D9" i="6"/>
  <c r="C9" i="6"/>
  <c r="B12" i="6"/>
  <c r="X7" i="6"/>
  <c r="U7" i="6"/>
  <c r="R7" i="6"/>
  <c r="O7" i="6"/>
  <c r="L7" i="6"/>
  <c r="H7" i="6"/>
  <c r="E7" i="6"/>
  <c r="AB11" i="4"/>
  <c r="Y9" i="6"/>
  <c r="X9" i="6"/>
  <c r="W9" i="6"/>
  <c r="V9" i="6"/>
  <c r="U9" i="6"/>
  <c r="T9" i="6"/>
  <c r="S9" i="6"/>
  <c r="R9" i="6"/>
  <c r="Q9" i="6"/>
  <c r="P9" i="6"/>
  <c r="O9" i="6"/>
  <c r="N9" i="6"/>
  <c r="M9" i="6"/>
  <c r="L9" i="6"/>
  <c r="W7" i="6"/>
  <c r="T7" i="6"/>
  <c r="Q7" i="6"/>
  <c r="M7" i="6"/>
  <c r="J7" i="6"/>
  <c r="G7" i="6"/>
  <c r="Y7" i="6"/>
  <c r="V7" i="6"/>
  <c r="S7" i="6"/>
  <c r="P7" i="6"/>
  <c r="N7" i="6"/>
  <c r="K7" i="6"/>
  <c r="I7" i="6"/>
  <c r="F7" i="6"/>
  <c r="V12" i="6"/>
  <c r="T12" i="6"/>
  <c r="R12" i="6"/>
  <c r="Q12" i="6"/>
  <c r="O12" i="6"/>
  <c r="M12" i="6"/>
  <c r="K12" i="6"/>
  <c r="I12" i="6"/>
  <c r="G12" i="6"/>
  <c r="E12" i="6"/>
  <c r="C12" i="6"/>
  <c r="X10" i="6"/>
  <c r="V10" i="6"/>
  <c r="T10" i="6"/>
  <c r="R10" i="6"/>
  <c r="Q10" i="6"/>
  <c r="O10" i="6"/>
  <c r="M10" i="6"/>
  <c r="K10" i="6"/>
  <c r="I10" i="6"/>
  <c r="G10" i="6"/>
  <c r="E10" i="6"/>
  <c r="C10" i="6"/>
  <c r="W6" i="6"/>
  <c r="T6" i="6"/>
  <c r="R6" i="6"/>
  <c r="O6" i="6"/>
  <c r="L6" i="6"/>
  <c r="I6" i="6"/>
  <c r="F6" i="6"/>
  <c r="C6" i="6"/>
  <c r="X2" i="6"/>
  <c r="U2" i="6"/>
  <c r="Q2" i="6"/>
  <c r="M2" i="6"/>
  <c r="I2" i="6"/>
  <c r="E2" i="6"/>
  <c r="D7" i="6"/>
  <c r="C7" i="6"/>
  <c r="Y2" i="6"/>
  <c r="T2" i="6"/>
  <c r="P2" i="6"/>
  <c r="L2" i="6"/>
  <c r="H2" i="6"/>
  <c r="D2" i="6"/>
  <c r="X12" i="6"/>
  <c r="W12" i="6"/>
  <c r="U12" i="6"/>
  <c r="S12" i="6"/>
  <c r="P12" i="6"/>
  <c r="N12" i="6"/>
  <c r="L12" i="6"/>
  <c r="J12" i="6"/>
  <c r="H12" i="6"/>
  <c r="F12" i="6"/>
  <c r="D12" i="6"/>
  <c r="Y10" i="6"/>
  <c r="W10" i="6"/>
  <c r="U10" i="6"/>
  <c r="S10" i="6"/>
  <c r="P10" i="6"/>
  <c r="N10" i="6"/>
  <c r="L10" i="6"/>
  <c r="J10" i="6"/>
  <c r="H10" i="6"/>
  <c r="F10" i="6"/>
  <c r="D10" i="6"/>
  <c r="Y6" i="6"/>
  <c r="V6" i="6"/>
  <c r="S6" i="6"/>
  <c r="P6" i="6"/>
  <c r="M6" i="6"/>
  <c r="J6" i="6"/>
  <c r="G6" i="6"/>
  <c r="D6" i="6"/>
  <c r="W2" i="6"/>
  <c r="S2" i="6"/>
  <c r="O2" i="6"/>
  <c r="K2" i="6"/>
  <c r="G2" i="6"/>
  <c r="C2" i="6"/>
  <c r="X6" i="6"/>
  <c r="U6" i="6"/>
  <c r="Q6" i="6"/>
  <c r="N6" i="6"/>
  <c r="K6" i="6"/>
  <c r="H6" i="6"/>
  <c r="E6" i="6"/>
  <c r="V2" i="6"/>
  <c r="R2" i="6"/>
  <c r="N2" i="6"/>
  <c r="J2" i="6"/>
  <c r="F2" i="6"/>
  <c r="AB23" i="4"/>
  <c r="Z11" i="6"/>
  <c r="AB20" i="4"/>
  <c r="AB19" i="4"/>
  <c r="B10" i="6"/>
  <c r="AB16" i="4"/>
  <c r="B8" i="6"/>
  <c r="B6" i="6"/>
  <c r="AB15" i="4"/>
  <c r="B7" i="6"/>
  <c r="AB13" i="4"/>
  <c r="AB10" i="4"/>
  <c r="B9" i="6"/>
  <c r="AB8" i="4"/>
  <c r="B5" i="6"/>
  <c r="AB6" i="4"/>
  <c r="B4" i="6"/>
  <c r="B3" i="6"/>
  <c r="AB4" i="4"/>
  <c r="B2" i="6"/>
  <c r="AB3" i="4"/>
  <c r="Z8" i="6" l="1"/>
  <c r="E5" i="8"/>
  <c r="AE7" i="8"/>
  <c r="H3" i="8"/>
  <c r="AH5" i="8"/>
  <c r="AD9" i="8"/>
  <c r="D2" i="8"/>
  <c r="AD6" i="8"/>
  <c r="D4" i="8"/>
  <c r="AD8" i="8"/>
  <c r="D8" i="8"/>
  <c r="Z4" i="6"/>
  <c r="Z3" i="6"/>
  <c r="Z5" i="6"/>
  <c r="Z6" i="6"/>
  <c r="Z7" i="6"/>
  <c r="Z9" i="6"/>
  <c r="Z12" i="6"/>
  <c r="Z10" i="6"/>
  <c r="AA21" i="4"/>
  <c r="Z2" i="6"/>
  <c r="AA2" i="4"/>
  <c r="AA3" i="4"/>
  <c r="AA15" i="4"/>
  <c r="AA13" i="4"/>
  <c r="AA10" i="4"/>
  <c r="AA8" i="4"/>
  <c r="AA23" i="4"/>
  <c r="AA20" i="4"/>
  <c r="AA19" i="4"/>
  <c r="AA16" i="4"/>
  <c r="AA6" i="4"/>
  <c r="AA4" i="4"/>
  <c r="AA12" i="4"/>
  <c r="AA11" i="4"/>
  <c r="AA9" i="4"/>
  <c r="AA5" i="4"/>
  <c r="AA22" i="4"/>
  <c r="AA18" i="4"/>
  <c r="AA17" i="4"/>
  <c r="AA14" i="4"/>
  <c r="AA7" i="4"/>
  <c r="AF7" i="8" l="1"/>
  <c r="F5" i="8"/>
  <c r="AI5" i="8"/>
  <c r="I3" i="8"/>
  <c r="AE9" i="8"/>
  <c r="E2" i="8"/>
  <c r="AD3" i="6" a="1"/>
  <c r="G5" i="3" s="1"/>
  <c r="AD4" i="6" a="1"/>
  <c r="G6" i="3" s="1"/>
  <c r="AD5" i="6" a="1"/>
  <c r="G7" i="3" s="1"/>
  <c r="AD6" i="6" a="1"/>
  <c r="G8" i="3" s="1"/>
  <c r="AD7" i="6" a="1"/>
  <c r="AD8" i="6" a="1"/>
  <c r="AD9" i="6" a="1"/>
  <c r="AD10" i="6" a="1"/>
  <c r="AD11" i="6" a="1"/>
  <c r="AD12" i="6" a="1"/>
  <c r="AD2" i="6" a="1"/>
  <c r="G4" i="3" s="1"/>
  <c r="AC3" i="6" a="1"/>
  <c r="F5" i="3" s="1"/>
  <c r="AC4" i="6" a="1"/>
  <c r="F6" i="3" s="1"/>
  <c r="AC5" i="6" a="1"/>
  <c r="F7" i="3" s="1"/>
  <c r="AC6" i="6" a="1"/>
  <c r="F8" i="3" s="1"/>
  <c r="AC7" i="6" a="1"/>
  <c r="AC8" i="6" a="1"/>
  <c r="AC9" i="6" a="1"/>
  <c r="AC10" i="6" a="1"/>
  <c r="AC11" i="6" a="1"/>
  <c r="AC12" i="6" a="1"/>
  <c r="AC2" i="6" a="1"/>
  <c r="F4" i="3" s="1"/>
  <c r="AE6" i="8"/>
  <c r="E4" i="8"/>
  <c r="AE8" i="8"/>
  <c r="E8" i="8"/>
  <c r="AF19" i="4"/>
  <c r="AF12" i="4"/>
  <c r="AF7" i="4"/>
  <c r="AF5" i="4"/>
  <c r="D7" i="3" s="1"/>
  <c r="AE2" i="4"/>
  <c r="AE21" i="4"/>
  <c r="AE19" i="4"/>
  <c r="AE16" i="4"/>
  <c r="AE13" i="4"/>
  <c r="AE4" i="4"/>
  <c r="C6" i="3" s="1"/>
  <c r="AF23" i="4"/>
  <c r="AF22" i="4"/>
  <c r="AF20" i="4"/>
  <c r="AF18" i="4"/>
  <c r="AF16" i="4"/>
  <c r="AF15" i="4"/>
  <c r="AF13" i="4"/>
  <c r="AF11" i="4"/>
  <c r="AF9" i="4"/>
  <c r="AF8" i="4"/>
  <c r="AF6" i="4"/>
  <c r="D8" i="3" s="1"/>
  <c r="AF4" i="4"/>
  <c r="D6" i="3" s="1"/>
  <c r="AF3" i="4"/>
  <c r="D5" i="3" s="1"/>
  <c r="AE23" i="4"/>
  <c r="AE22" i="4"/>
  <c r="AF2" i="4"/>
  <c r="D4" i="3" s="1"/>
  <c r="AF21" i="4"/>
  <c r="AF17" i="4"/>
  <c r="AF14" i="4"/>
  <c r="AF10" i="4"/>
  <c r="AE20" i="4"/>
  <c r="AE18" i="4"/>
  <c r="AE17" i="4"/>
  <c r="AE15" i="4"/>
  <c r="AE14" i="4"/>
  <c r="AE12" i="4"/>
  <c r="AE11" i="4"/>
  <c r="AE10" i="4"/>
  <c r="AE9" i="4"/>
  <c r="AE8" i="4"/>
  <c r="AE7" i="4"/>
  <c r="AE6" i="4"/>
  <c r="C8" i="3" s="1"/>
  <c r="AE5" i="4"/>
  <c r="C7" i="3" s="1"/>
  <c r="AE3" i="4"/>
  <c r="C5" i="3" s="1"/>
  <c r="AG7" i="8" l="1"/>
  <c r="G5" i="8"/>
  <c r="AJ5" i="8"/>
  <c r="J3" i="8"/>
  <c r="AF9" i="8"/>
  <c r="F2" i="8"/>
  <c r="AH2" i="4"/>
  <c r="C4" i="3"/>
  <c r="AF6" i="8"/>
  <c r="F4" i="8"/>
  <c r="AF8" i="8"/>
  <c r="F8" i="8"/>
  <c r="AH7" i="8" l="1"/>
  <c r="H5" i="8"/>
  <c r="AK5" i="8"/>
  <c r="K3" i="8"/>
  <c r="AG9" i="8"/>
  <c r="G2" i="8"/>
  <c r="AG6" i="8"/>
  <c r="G4" i="8"/>
  <c r="AG8" i="8"/>
  <c r="G8" i="8"/>
  <c r="I5" i="8" l="1"/>
  <c r="AI7" i="8"/>
  <c r="AL5" i="8"/>
  <c r="L3" i="8"/>
  <c r="AH9" i="8"/>
  <c r="H2" i="8"/>
  <c r="AH6" i="8"/>
  <c r="H4" i="8"/>
  <c r="AH8" i="8"/>
  <c r="H8" i="8"/>
  <c r="AJ7" i="8" l="1"/>
  <c r="J5" i="8"/>
  <c r="AM5" i="8"/>
  <c r="M3" i="8"/>
  <c r="AI9" i="8"/>
  <c r="I2" i="8"/>
  <c r="AI6" i="8"/>
  <c r="I4" i="8"/>
  <c r="AI8" i="8"/>
  <c r="I8" i="8"/>
  <c r="K5" i="8" l="1"/>
  <c r="AK7" i="8"/>
  <c r="AN5" i="8"/>
  <c r="N3" i="8"/>
  <c r="AJ9" i="8"/>
  <c r="J2" i="8"/>
  <c r="AJ6" i="8"/>
  <c r="J4" i="8"/>
  <c r="AJ8" i="8"/>
  <c r="J8" i="8"/>
  <c r="AL7" i="8" l="1"/>
  <c r="L5" i="8"/>
  <c r="AO5" i="8"/>
  <c r="O3" i="8"/>
  <c r="AK9" i="8"/>
  <c r="K2" i="8"/>
  <c r="AK6" i="8"/>
  <c r="K4" i="8"/>
  <c r="AK8" i="8"/>
  <c r="K8" i="8"/>
  <c r="AM7" i="8" l="1"/>
  <c r="M5" i="8"/>
  <c r="AP5" i="8"/>
  <c r="P3" i="8"/>
  <c r="AL9" i="8"/>
  <c r="L2" i="8"/>
  <c r="AL6" i="8"/>
  <c r="L4" i="8"/>
  <c r="AL8" i="8"/>
  <c r="L8" i="8"/>
  <c r="N5" i="8" l="1"/>
  <c r="AN7" i="8"/>
  <c r="AQ5" i="8"/>
  <c r="Q3" i="8"/>
  <c r="AM9" i="8"/>
  <c r="M2" i="8"/>
  <c r="AM6" i="8"/>
  <c r="M4" i="8"/>
  <c r="AM8" i="8"/>
  <c r="M8" i="8"/>
  <c r="AO7" i="8" l="1"/>
  <c r="O5" i="8"/>
  <c r="AR5" i="8"/>
  <c r="R3" i="8"/>
  <c r="AN9" i="8"/>
  <c r="N2" i="8"/>
  <c r="AN6" i="8"/>
  <c r="N4" i="8"/>
  <c r="AN8" i="8"/>
  <c r="N8" i="8"/>
  <c r="AP7" i="8" l="1"/>
  <c r="P5" i="8"/>
  <c r="AS5" i="8"/>
  <c r="S3" i="8"/>
  <c r="AO9" i="8"/>
  <c r="O2" i="8"/>
  <c r="AO6" i="8"/>
  <c r="O4" i="8"/>
  <c r="AO8" i="8"/>
  <c r="O8" i="8"/>
  <c r="AQ7" i="8" l="1"/>
  <c r="Q5" i="8"/>
  <c r="AT5" i="8"/>
  <c r="T3" i="8"/>
  <c r="AP9" i="8"/>
  <c r="P2" i="8"/>
  <c r="AP6" i="8"/>
  <c r="P4" i="8"/>
  <c r="AP8" i="8"/>
  <c r="P8" i="8"/>
  <c r="AR7" i="8" l="1"/>
  <c r="R5" i="8"/>
  <c r="AU5" i="8"/>
  <c r="U3" i="8"/>
  <c r="AQ9" i="8"/>
  <c r="Q2" i="8"/>
  <c r="AQ6" i="8"/>
  <c r="Q4" i="8"/>
  <c r="AQ8" i="8"/>
  <c r="Q8" i="8"/>
  <c r="AS7" i="8" l="1"/>
  <c r="S5" i="8"/>
  <c r="AV5" i="8"/>
  <c r="V3" i="8"/>
  <c r="AR9" i="8"/>
  <c r="R2" i="8"/>
  <c r="AR6" i="8"/>
  <c r="R4" i="8"/>
  <c r="AR8" i="8"/>
  <c r="R8" i="8"/>
  <c r="AT7" i="8" l="1"/>
  <c r="T5" i="8"/>
  <c r="AW5" i="8"/>
  <c r="W3" i="8"/>
  <c r="AS9" i="8"/>
  <c r="S2" i="8"/>
  <c r="AS6" i="8"/>
  <c r="S4" i="8"/>
  <c r="AS8" i="8"/>
  <c r="S8" i="8"/>
  <c r="AU7" i="8" l="1"/>
  <c r="U5" i="8"/>
  <c r="AX5" i="8"/>
  <c r="X3" i="8"/>
  <c r="AT9" i="8"/>
  <c r="T2" i="8"/>
  <c r="AT6" i="8"/>
  <c r="T4" i="8"/>
  <c r="AT8" i="8"/>
  <c r="T8" i="8"/>
  <c r="AV7" i="8" l="1"/>
  <c r="V5" i="8"/>
  <c r="AY5" i="8"/>
  <c r="Y3" i="8"/>
  <c r="AU9" i="8"/>
  <c r="U2" i="8"/>
  <c r="AU6" i="8"/>
  <c r="U4" i="8"/>
  <c r="AU8" i="8"/>
  <c r="U8" i="8"/>
  <c r="AW7" i="8" l="1"/>
  <c r="W5" i="8"/>
  <c r="AZ5" i="8"/>
  <c r="BC3" i="8"/>
  <c r="AV9" i="8"/>
  <c r="V2" i="8"/>
  <c r="AV6" i="8"/>
  <c r="V4" i="8"/>
  <c r="AV8" i="8"/>
  <c r="V8" i="8"/>
  <c r="AX7" i="8" l="1"/>
  <c r="X5" i="8"/>
  <c r="AW9" i="8"/>
  <c r="W2" i="8"/>
  <c r="AW6" i="8"/>
  <c r="W4" i="8"/>
  <c r="AW8" i="8"/>
  <c r="W8" i="8"/>
  <c r="Y5" i="8" l="1"/>
  <c r="AY7" i="8"/>
  <c r="AX9" i="8"/>
  <c r="X2" i="8"/>
  <c r="AX6" i="8"/>
  <c r="X4" i="8"/>
  <c r="AX8" i="8"/>
  <c r="X8" i="8"/>
  <c r="AZ7" i="8" l="1"/>
  <c r="BC5" i="8"/>
  <c r="AY9" i="8"/>
  <c r="Y2" i="8"/>
  <c r="AY6" i="8"/>
  <c r="Y4" i="8"/>
  <c r="AY8" i="8"/>
  <c r="Y8" i="8"/>
  <c r="AZ6" i="8" l="1"/>
  <c r="BC4" i="8"/>
  <c r="AZ8" i="8"/>
  <c r="BC8" i="8"/>
  <c r="BC2" i="8"/>
  <c r="AZ9" i="8"/>
  <c r="BD2" i="8" l="1"/>
  <c r="BD23" i="8"/>
  <c r="BD22" i="8"/>
  <c r="BD21" i="8"/>
  <c r="BD20" i="8"/>
  <c r="BD19" i="8"/>
  <c r="BD18" i="8"/>
  <c r="BD17" i="8"/>
  <c r="BD16" i="8"/>
  <c r="BD15" i="8"/>
  <c r="BD14" i="8"/>
  <c r="BD13" i="8"/>
  <c r="BD12" i="8"/>
  <c r="BD11" i="8"/>
  <c r="BD10" i="8"/>
  <c r="BD9" i="8"/>
  <c r="BD8" i="8"/>
  <c r="BD7" i="8"/>
  <c r="BD6" i="8"/>
  <c r="BD4" i="8"/>
  <c r="BD3" i="8"/>
  <c r="BD5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92EDDDE-EBBB-4EC1-9E2F-2AED6EACDBC8}" keepAlive="1" name="Query - Table 1" description="Connection to the 'Table 1' query in the workbook." type="5" refreshedVersion="0" background="1">
    <dbPr connection="Provider=Microsoft.Mashup.OleDb.1;Data Source=$Workbook$;Location=&quot;Table 1&quot;;Extended Properties=&quot;&quot;" command="SELECT * FROM [Table 1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<sst xmlns="http://schemas.openxmlformats.org/spreadsheetml/2006/main" count="616" uniqueCount="99">
  <si>
    <t>POS</t>
  </si>
  <si>
    <t>Driver</t>
  </si>
  <si>
    <t>Team</t>
  </si>
  <si>
    <t>Points</t>
  </si>
  <si>
    <t>Mercedes</t>
  </si>
  <si>
    <t>Ferrari</t>
  </si>
  <si>
    <t>McLaren</t>
  </si>
  <si>
    <t>Red Bull Racing</t>
  </si>
  <si>
    <t>Alpine</t>
  </si>
  <si>
    <t>Racing Bulls</t>
  </si>
  <si>
    <t>Haas F1 Team</t>
  </si>
  <si>
    <t>Audi</t>
  </si>
  <si>
    <t>Williams</t>
  </si>
  <si>
    <t>Aston Martin</t>
  </si>
  <si>
    <t>Cadillac</t>
  </si>
  <si>
    <t>Poisition</t>
  </si>
  <si>
    <t>AUSTRALIA</t>
  </si>
  <si>
    <t>CHINA</t>
  </si>
  <si>
    <t>JAPAN</t>
  </si>
  <si>
    <t>BAHRAIN</t>
  </si>
  <si>
    <t>SAUDI ARABIA</t>
  </si>
  <si>
    <t>MIAMI</t>
  </si>
  <si>
    <t>CANADA</t>
  </si>
  <si>
    <t>MONACO</t>
  </si>
  <si>
    <t>BARCELONA</t>
  </si>
  <si>
    <t>AUSTRIA</t>
  </si>
  <si>
    <t>GREAT BRITAIN</t>
  </si>
  <si>
    <t>BELGIUM</t>
  </si>
  <si>
    <t>HUNGARY</t>
  </si>
  <si>
    <t>NETHERLANDS</t>
  </si>
  <si>
    <t>ITALY</t>
  </si>
  <si>
    <t>SPAIN (MADRID)</t>
  </si>
  <si>
    <t>AZERBAIJAN</t>
  </si>
  <si>
    <t>SINGAPORE</t>
  </si>
  <si>
    <t>UNITED STATES</t>
  </si>
  <si>
    <t>MEXICO</t>
  </si>
  <si>
    <t>BRAZIL</t>
  </si>
  <si>
    <t>LAS VEGAS</t>
  </si>
  <si>
    <t>QATAR</t>
  </si>
  <si>
    <t>ABU DHABI</t>
  </si>
  <si>
    <t>N/A</t>
  </si>
  <si>
    <t>LEC</t>
  </si>
  <si>
    <t>RUS</t>
  </si>
  <si>
    <t>ANT</t>
  </si>
  <si>
    <t>HAM</t>
  </si>
  <si>
    <t>NOR</t>
  </si>
  <si>
    <t>HAD</t>
  </si>
  <si>
    <t>LAW</t>
  </si>
  <si>
    <t>LIN</t>
  </si>
  <si>
    <t>BOR</t>
  </si>
  <si>
    <t>COL</t>
  </si>
  <si>
    <t>GAS</t>
  </si>
  <si>
    <t>PIA</t>
  </si>
  <si>
    <t>BEA</t>
  </si>
  <si>
    <t>OCO</t>
  </si>
  <si>
    <t>PER</t>
  </si>
  <si>
    <t>BOT</t>
  </si>
  <si>
    <t>SAI</t>
  </si>
  <si>
    <t>ALO</t>
  </si>
  <si>
    <t>STR</t>
  </si>
  <si>
    <t>VER</t>
  </si>
  <si>
    <t>ALB</t>
  </si>
  <si>
    <t>HUL</t>
  </si>
  <si>
    <t>POINTS</t>
  </si>
  <si>
    <t>Kimi Antonelli</t>
  </si>
  <si>
    <t>11+</t>
  </si>
  <si>
    <t>RANK</t>
  </si>
  <si>
    <t>DRIVER</t>
  </si>
  <si>
    <t>TEAMS</t>
  </si>
  <si>
    <t>F1 Champion</t>
  </si>
  <si>
    <t>F1 Constructors Champion</t>
  </si>
  <si>
    <t>Position</t>
  </si>
  <si>
    <t>9+</t>
  </si>
  <si>
    <t>George Russell</t>
  </si>
  <si>
    <t>Lewis Hamilton</t>
  </si>
  <si>
    <t>Lando Norris</t>
  </si>
  <si>
    <t>Charles Leclerc</t>
  </si>
  <si>
    <t>Oscar Piastri</t>
  </si>
  <si>
    <t>Max Verstappen</t>
  </si>
  <si>
    <t>Isack Hadjar</t>
  </si>
  <si>
    <t>Pierre Gasly</t>
  </si>
  <si>
    <t>Franco Colapinto</t>
  </si>
  <si>
    <t>Arvid Lindblad</t>
  </si>
  <si>
    <t>Liam Lawson</t>
  </si>
  <si>
    <t>Oliver Bearman</t>
  </si>
  <si>
    <t>Esteban Ocon</t>
  </si>
  <si>
    <t>Nico Hulkenberg</t>
  </si>
  <si>
    <t>Gabriel Bortoleto</t>
  </si>
  <si>
    <t>Alexander Albon</t>
  </si>
  <si>
    <t>Carlos Sainz</t>
  </si>
  <si>
    <t>Fernando Alonso</t>
  </si>
  <si>
    <t>Lance Stroll</t>
  </si>
  <si>
    <t>Sergio Perez</t>
  </si>
  <si>
    <t>Valtteri Bottas</t>
  </si>
  <si>
    <t>Gap</t>
  </si>
  <si>
    <t>Rank</t>
  </si>
  <si>
    <t>Top 5 Drivers + Top 5 Constructors Snapshot Tables</t>
  </si>
  <si>
    <t>Sunday Race</t>
  </si>
  <si>
    <t>Sprint Race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</si>
</sst>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sz val="16"/>
      <color theme="1"/>
      <name val="Agency FB"/>
      <family val="2"/>
    </font>
    <font>
      <b/>
      <u/>
      <sz val="16"/>
      <color theme="1"/>
      <name val="Agency FB"/>
      <family val="2"/>
    </font>
    <font>
      <b/>
      <u/>
      <sz val="11"/>
      <color theme="1"/>
      <name val="Aptos Narrow"/>
      <family val="2"/>
      <scheme val="minor"/>
    </font>
    <font>
      <b/>
      <sz val="16"/>
      <color theme="1"/>
      <name val="Agency FB"/>
      <family val="2"/>
    </font>
    <font>
      <b/>
      <u/>
      <sz val="16"/>
      <color theme="0"/>
      <name val="Agency FB"/>
      <family val="2"/>
    </font>
    <font>
      <b/>
      <sz val="16"/>
      <color theme="0"/>
      <name val="Agency FB"/>
      <family val="2"/>
    </font>
    <font>
      <sz val="8"/>
      <name val="Aptos Narrow"/>
      <family val="2"/>
      <scheme val="minor"/>
    </font>
    <font>
      <b/>
      <i/>
      <u/>
      <sz val="20"/>
      <color theme="1"/>
      <name val="Agency FB"/>
      <family val="2"/>
    </font>
    <font>
      <b/>
      <u/>
      <sz val="16"/>
      <color theme="8" tint="0.39997558519241921"/>
      <name val="Agency FB"/>
      <family val="2"/>
    </font>
    <font>
      <b/>
      <i/>
      <u/>
      <sz val="18"/>
      <color theme="1"/>
      <name val="Agency FB"/>
      <family val="2"/>
    </font>
    <font>
      <b/>
      <i/>
      <u/>
      <sz val="11"/>
      <color theme="1"/>
      <name val="Agency FB"/>
      <family val="2"/>
    </font>
    <font>
      <b/>
      <sz val="16"/>
      <color rgb="FFFF0000"/>
      <name val="Agency FB"/>
      <family val="2"/>
    </font>
    <font>
      <b/>
      <u/>
      <sz val="16"/>
      <color rgb="FFFF0000"/>
      <name val="Agency FB"/>
      <family val="2"/>
    </font>
  </fonts>
  <fills count="2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47600"/>
        <bgColor indexed="64"/>
      </patternFill>
    </fill>
    <fill>
      <patternFill patternType="solid">
        <fgColor rgb="FFED1131"/>
        <bgColor indexed="64"/>
      </patternFill>
    </fill>
    <fill>
      <patternFill patternType="solid">
        <fgColor rgb="FF229971"/>
        <bgColor indexed="64"/>
      </patternFill>
    </fill>
    <fill>
      <patternFill patternType="solid">
        <fgColor rgb="FF4781D7"/>
        <bgColor indexed="64"/>
      </patternFill>
    </fill>
    <fill>
      <patternFill patternType="solid">
        <fgColor rgb="FF00D7B6"/>
        <bgColor indexed="64"/>
      </patternFill>
    </fill>
    <fill>
      <patternFill patternType="solid">
        <fgColor rgb="FF00A1E8"/>
        <bgColor indexed="64"/>
      </patternFill>
    </fill>
    <fill>
      <patternFill patternType="solid">
        <fgColor rgb="FF6C98FF"/>
        <bgColor indexed="64"/>
      </patternFill>
    </fill>
    <fill>
      <patternFill patternType="solid">
        <fgColor rgb="FFF50537"/>
        <bgColor indexed="64"/>
      </patternFill>
    </fill>
    <fill>
      <patternFill patternType="solid">
        <fgColor rgb="FF1868DB"/>
        <bgColor indexed="64"/>
      </patternFill>
    </fill>
    <fill>
      <patternFill patternType="solid">
        <fgColor rgb="FF9C9FA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909090"/>
        <bgColor indexed="64"/>
      </patternFill>
    </fill>
    <fill>
      <gradientFill degree="225">
        <stop position="0">
          <color rgb="FFF3E5AB"/>
        </stop>
        <stop position="1">
          <color rgb="FFD4AF37"/>
        </stop>
      </gradient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D4AF37"/>
        <bgColor indexed="64"/>
      </patternFill>
    </fill>
    <fill>
      <patternFill patternType="solid">
        <fgColor rgb="FFA37A1A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2" fillId="8" borderId="0" xfId="0" applyFont="1" applyFill="1" applyAlignment="1">
      <alignment horizontal="center"/>
    </xf>
    <xf numFmtId="0" fontId="2" fillId="9" borderId="0" xfId="0" applyFont="1" applyFill="1" applyAlignment="1">
      <alignment horizontal="center"/>
    </xf>
    <xf numFmtId="0" fontId="2" fillId="10" borderId="0" xfId="0" applyFont="1" applyFill="1" applyAlignment="1">
      <alignment horizontal="center"/>
    </xf>
    <xf numFmtId="0" fontId="2" fillId="11" borderId="0" xfId="0" applyFont="1" applyFill="1" applyAlignment="1">
      <alignment horizontal="center"/>
    </xf>
    <xf numFmtId="0" fontId="2" fillId="12" borderId="0" xfId="0" applyFont="1" applyFill="1" applyAlignment="1">
      <alignment horizontal="center"/>
    </xf>
    <xf numFmtId="0" fontId="2" fillId="1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16" borderId="0" xfId="0" applyFont="1" applyFill="1" applyAlignment="1">
      <alignment horizontal="center"/>
    </xf>
    <xf numFmtId="0" fontId="5" fillId="14" borderId="5" xfId="0" applyFont="1" applyFill="1" applyBorder="1" applyAlignment="1">
      <alignment horizontal="center"/>
    </xf>
    <xf numFmtId="0" fontId="2" fillId="15" borderId="5" xfId="0" applyFont="1" applyFill="1" applyBorder="1" applyAlignment="1">
      <alignment horizontal="center"/>
    </xf>
    <xf numFmtId="0" fontId="6" fillId="14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4" fillId="8" borderId="3" xfId="0" applyFont="1" applyFill="1" applyBorder="1" applyAlignment="1">
      <alignment horizontal="center"/>
    </xf>
    <xf numFmtId="0" fontId="4" fillId="15" borderId="4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7" borderId="3" xfId="0" applyFont="1" applyFill="1" applyBorder="1" applyAlignment="1">
      <alignment horizontal="center"/>
    </xf>
    <xf numFmtId="0" fontId="4" fillId="13" borderId="3" xfId="0" applyFont="1" applyFill="1" applyBorder="1" applyAlignment="1">
      <alignment horizontal="center"/>
    </xf>
    <xf numFmtId="0" fontId="4" fillId="10" borderId="3" xfId="0" applyFont="1" applyFill="1" applyBorder="1" applyAlignment="1">
      <alignment horizontal="center"/>
    </xf>
    <xf numFmtId="0" fontId="4" fillId="9" borderId="3" xfId="0" applyFont="1" applyFill="1" applyBorder="1" applyAlignment="1">
      <alignment horizontal="center"/>
    </xf>
    <xf numFmtId="0" fontId="4" fillId="12" borderId="3" xfId="0" applyFont="1" applyFill="1" applyBorder="1" applyAlignment="1">
      <alignment horizontal="center"/>
    </xf>
    <xf numFmtId="0" fontId="4" fillId="6" borderId="3" xfId="0" applyFont="1" applyFill="1" applyBorder="1" applyAlignment="1">
      <alignment horizontal="center"/>
    </xf>
    <xf numFmtId="0" fontId="4" fillId="16" borderId="1" xfId="0" applyFont="1" applyFill="1" applyBorder="1" applyAlignment="1">
      <alignment horizontal="center"/>
    </xf>
    <xf numFmtId="0" fontId="4" fillId="15" borderId="2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5" fillId="14" borderId="6" xfId="0" applyFont="1" applyFill="1" applyBorder="1" applyAlignment="1">
      <alignment horizontal="center"/>
    </xf>
    <xf numFmtId="0" fontId="2" fillId="15" borderId="6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9" fillId="2" borderId="0" xfId="0" applyFont="1" applyFill="1" applyAlignment="1">
      <alignment horizontal="center"/>
    </xf>
    <xf numFmtId="0" fontId="9" fillId="0" borderId="0" xfId="0" applyFont="1" applyAlignment="1">
      <alignment horizontal="center"/>
    </xf>
    <xf numFmtId="0" fontId="8" fillId="17" borderId="0" xfId="0" applyFont="1" applyFill="1" applyAlignment="1">
      <alignment horizontal="center"/>
    </xf>
    <xf numFmtId="0" fontId="0" fillId="18" borderId="0" xfId="0" applyFill="1"/>
    <xf numFmtId="0" fontId="10" fillId="0" borderId="0" xfId="0" applyFont="1" applyAlignment="1">
      <alignment horizontal="center"/>
    </xf>
    <xf numFmtId="0" fontId="10" fillId="0" borderId="0" xfId="0" applyFont="1" applyAlignment="1">
      <alignment vertical="center"/>
    </xf>
    <xf numFmtId="0" fontId="12" fillId="0" borderId="0" xfId="0" applyFont="1" applyAlignment="1">
      <alignment horizontal="center"/>
    </xf>
    <xf numFmtId="0" fontId="13" fillId="2" borderId="0" xfId="0" applyFont="1" applyFill="1" applyAlignment="1">
      <alignment horizontal="center"/>
    </xf>
    <xf numFmtId="0" fontId="13" fillId="2" borderId="4" xfId="0" applyFont="1" applyFill="1" applyBorder="1" applyAlignment="1">
      <alignment horizontal="center"/>
    </xf>
    <xf numFmtId="0" fontId="12" fillId="15" borderId="4" xfId="0" applyFont="1" applyFill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15" borderId="2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2" fillId="20" borderId="0" xfId="0" applyFont="1" applyFill="1" applyAlignment="1">
      <alignment horizontal="center"/>
    </xf>
    <xf numFmtId="0" fontId="2" fillId="21" borderId="0" xfId="0" applyFont="1" applyFill="1" applyAlignment="1">
      <alignment horizontal="center"/>
    </xf>
    <xf numFmtId="0" fontId="2" fillId="22" borderId="0" xfId="0" applyFont="1" applyFill="1" applyAlignment="1">
      <alignment horizontal="center"/>
    </xf>
    <xf numFmtId="0" fontId="13" fillId="22" borderId="0" xfId="0" applyFont="1" applyFill="1" applyAlignment="1">
      <alignment horizontal="center"/>
    </xf>
    <xf numFmtId="0" fontId="10" fillId="0" borderId="0" xfId="0" applyFont="1" applyAlignment="1">
      <alignment horizontal="center" vertical="center"/>
    </xf>
    <xf numFmtId="0" fontId="11" fillId="19" borderId="0" xfId="0" applyFont="1" applyFill="1" applyAlignment="1">
      <alignment horizontal="center"/>
    </xf>
    <xf numFmtId="0" fontId="0" fillId="19" borderId="0" xfId="0" applyFill="1" applyAlignment="1">
      <alignment horizontal="center"/>
    </xf>
  </cellXfs>
  <cellStyles count="1">
    <cellStyle name="Normal" xfId="0" builtinId="0"/>
  </cellStyles>
  <dxfs count="26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/>
        <vertAlign val="baseline"/>
        <sz val="16"/>
        <color theme="1"/>
        <name val="Agency FB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/>
        <vertAlign val="baseline"/>
        <sz val="16"/>
        <color theme="1"/>
        <name val="Agency FB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/>
        <vertAlign val="baseline"/>
        <sz val="16"/>
        <color theme="1"/>
        <name val="Agency FB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/>
        <vertAlign val="baseline"/>
        <sz val="16"/>
        <color theme="1"/>
        <name val="Agency FB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/>
        <vertAlign val="baseline"/>
        <sz val="16"/>
        <color theme="1"/>
        <name val="Agency FB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/>
        <vertAlign val="baseline"/>
        <sz val="18"/>
        <color theme="1"/>
        <name val="Agency FB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/>
        <vertAlign val="baseline"/>
        <sz val="18"/>
        <color theme="1"/>
        <name val="Agency FB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/>
        <strike val="0"/>
        <outline val="0"/>
        <shadow val="0"/>
        <u/>
        <vertAlign val="baseline"/>
        <sz val="18"/>
        <color theme="1"/>
        <name val="Agency FB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/>
        <strike val="0"/>
        <outline val="0"/>
        <shadow val="0"/>
        <u/>
        <vertAlign val="baseline"/>
        <sz val="18"/>
        <color theme="1"/>
        <name val="Agency FB"/>
        <family val="2"/>
        <scheme val="none"/>
      </font>
      <alignment vertical="bottom" textRotation="0" wrapText="0" indent="0" justifyLastLine="0" shrinkToFit="0" readingOrder="0"/>
    </dxf>
    <dxf>
      <font>
        <b/>
        <i/>
        <strike val="0"/>
        <outline val="0"/>
        <shadow val="0"/>
        <u/>
        <vertAlign val="baseline"/>
        <sz val="18"/>
        <color theme="1"/>
        <name val="Agency FB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/>
        <strike val="0"/>
        <outline val="0"/>
        <shadow val="0"/>
        <u/>
        <vertAlign val="baseline"/>
        <sz val="18"/>
        <color theme="1"/>
        <name val="Agency FB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/>
        <strike val="0"/>
        <outline val="0"/>
        <shadow val="0"/>
        <u/>
        <vertAlign val="baseline"/>
        <sz val="18"/>
        <color theme="1"/>
        <name val="Agency FB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/>
        <strike val="0"/>
        <outline val="0"/>
        <shadow val="0"/>
        <u/>
        <vertAlign val="baseline"/>
        <sz val="18"/>
        <color theme="1"/>
        <name val="Agency FB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/>
        <strike val="0"/>
        <outline val="0"/>
        <shadow val="0"/>
        <u/>
        <vertAlign val="baseline"/>
        <sz val="18"/>
        <color theme="1"/>
        <name val="Agency FB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/>
        <strike val="0"/>
        <outline val="0"/>
        <shadow val="0"/>
        <u/>
        <vertAlign val="baseline"/>
        <sz val="18"/>
        <color theme="1"/>
        <name val="Agency FB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gency FB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gency FB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/>
        <vertAlign val="baseline"/>
        <sz val="16"/>
        <color theme="0"/>
        <name val="Agency FB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A37A1A"/>
      <color rgb="FF9C9FA2"/>
      <color rgb="FFD4AF37"/>
      <color rgb="FFF3E5AB"/>
      <color rgb="FF00A1E8"/>
      <color rgb="FF909090"/>
      <color rgb="FF1868DB"/>
      <color rgb="FF6C98FF"/>
      <color rgb="FF4781D7"/>
      <color rgb="FFED11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1" u="sng" strike="noStrike" kern="1200" spc="0" baseline="0">
                <a:solidFill>
                  <a:sysClr val="windowText" lastClr="000000"/>
                </a:solidFill>
                <a:latin typeface="Agency FB" panose="020B0503020202020204" pitchFamily="34" charset="0"/>
                <a:ea typeface="+mn-ea"/>
                <a:cs typeface="+mn-cs"/>
              </a:defRPr>
            </a:pPr>
            <a:r>
              <a:rPr lang="en-GB" sz="1600" b="1" i="1" u="sng" strike="noStrike" kern="1200" spc="0" baseline="0">
                <a:solidFill>
                  <a:sysClr val="windowText" lastClr="000000"/>
                </a:solidFill>
                <a:latin typeface="Agency FB" panose="020B0503020202020204" pitchFamily="34" charset="0"/>
              </a:rPr>
              <a:t>Championship Position Trend Line</a:t>
            </a:r>
          </a:p>
        </c:rich>
      </c:tx>
      <c:layout>
        <c:manualLayout>
          <c:xMode val="edge"/>
          <c:yMode val="edge"/>
          <c:x val="0.44391599721124614"/>
          <c:y val="1.10584528484332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1" u="sng" strike="noStrike" kern="1200" spc="0" baseline="0">
              <a:solidFill>
                <a:sysClr val="windowText" lastClr="000000"/>
              </a:solidFill>
              <a:latin typeface="Agency FB" panose="020B0503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'Dashboard Data'!$AB$5</c:f>
              <c:strCache>
                <c:ptCount val="1"/>
                <c:pt idx="0">
                  <c:v>George Russell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'Dashboard Data'!$AC$4:$AZ$4</c:f>
              <c:strCache>
                <c:ptCount val="24"/>
                <c:pt idx="0">
                  <c:v>AUSTRALIA</c:v>
                </c:pt>
                <c:pt idx="1">
                  <c:v>CHINA</c:v>
                </c:pt>
                <c:pt idx="2">
                  <c:v>JAPAN</c:v>
                </c:pt>
                <c:pt idx="3">
                  <c:v>BAHRAIN</c:v>
                </c:pt>
                <c:pt idx="4">
                  <c:v>SAUDI ARABIA</c:v>
                </c:pt>
                <c:pt idx="5">
                  <c:v>MIAMI</c:v>
                </c:pt>
                <c:pt idx="6">
                  <c:v>CANADA</c:v>
                </c:pt>
                <c:pt idx="7">
                  <c:v>MONACO</c:v>
                </c:pt>
                <c:pt idx="8">
                  <c:v>BARCELONA</c:v>
                </c:pt>
                <c:pt idx="9">
                  <c:v>AUSTRIA</c:v>
                </c:pt>
                <c:pt idx="10">
                  <c:v>GREAT BRITAIN</c:v>
                </c:pt>
                <c:pt idx="11">
                  <c:v>BELGIUM</c:v>
                </c:pt>
                <c:pt idx="12">
                  <c:v>HUNGARY</c:v>
                </c:pt>
                <c:pt idx="13">
                  <c:v>NETHERLANDS</c:v>
                </c:pt>
                <c:pt idx="14">
                  <c:v>ITALY</c:v>
                </c:pt>
                <c:pt idx="15">
                  <c:v>SPAIN (MADRID)</c:v>
                </c:pt>
                <c:pt idx="16">
                  <c:v>AZERBAIJAN</c:v>
                </c:pt>
                <c:pt idx="17">
                  <c:v>SINGAPORE</c:v>
                </c:pt>
                <c:pt idx="18">
                  <c:v>UNITED STATES</c:v>
                </c:pt>
                <c:pt idx="19">
                  <c:v>MEXICO</c:v>
                </c:pt>
                <c:pt idx="20">
                  <c:v>BRAZIL</c:v>
                </c:pt>
                <c:pt idx="21">
                  <c:v>LAS VEGAS</c:v>
                </c:pt>
                <c:pt idx="22">
                  <c:v>QATAR</c:v>
                </c:pt>
                <c:pt idx="23">
                  <c:v>ABU DHABI</c:v>
                </c:pt>
              </c:strCache>
            </c:strRef>
          </c:cat>
          <c:val>
            <c:numRef>
              <c:f>'Dashboard Data'!$AC$5:$AZ$5</c:f>
              <c:numCache>
                <c:formatCode>General</c:formatCode>
                <c:ptCount val="24"/>
                <c:pt idx="0">
                  <c:v>25</c:v>
                </c:pt>
                <c:pt idx="1">
                  <c:v>51</c:v>
                </c:pt>
                <c:pt idx="2">
                  <c:v>63</c:v>
                </c:pt>
                <c:pt idx="3">
                  <c:v>63</c:v>
                </c:pt>
                <c:pt idx="4">
                  <c:v>63</c:v>
                </c:pt>
                <c:pt idx="5">
                  <c:v>80</c:v>
                </c:pt>
                <c:pt idx="6">
                  <c:v>88</c:v>
                </c:pt>
                <c:pt idx="7">
                  <c:v>88</c:v>
                </c:pt>
                <c:pt idx="8">
                  <c:v>106</c:v>
                </c:pt>
                <c:pt idx="9">
                  <c:v>131</c:v>
                </c:pt>
                <c:pt idx="10">
                  <c:v>154</c:v>
                </c:pt>
                <c:pt idx="11">
                  <c:v>154</c:v>
                </c:pt>
                <c:pt idx="12">
                  <c:v>160</c:v>
                </c:pt>
                <c:pt idx="13">
                  <c:v>160</c:v>
                </c:pt>
                <c:pt idx="14">
                  <c:v>160</c:v>
                </c:pt>
                <c:pt idx="15">
                  <c:v>160</c:v>
                </c:pt>
                <c:pt idx="16">
                  <c:v>160</c:v>
                </c:pt>
                <c:pt idx="17">
                  <c:v>160</c:v>
                </c:pt>
                <c:pt idx="18">
                  <c:v>160</c:v>
                </c:pt>
                <c:pt idx="19">
                  <c:v>160</c:v>
                </c:pt>
                <c:pt idx="20">
                  <c:v>160</c:v>
                </c:pt>
                <c:pt idx="21">
                  <c:v>160</c:v>
                </c:pt>
                <c:pt idx="22">
                  <c:v>160</c:v>
                </c:pt>
                <c:pt idx="23">
                  <c:v>160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50-4700-9C4A-078FFEDAF310}"/>
            </c:ext>
          </c:extLst>
        </c:ser>
        <c:ser>
          <c:idx val="1"/>
          <c:order val="1"/>
          <c:tx>
            <c:strRef>
              <c:f>'Dashboard Data'!$AB$6</c:f>
              <c:strCache>
                <c:ptCount val="1"/>
                <c:pt idx="0">
                  <c:v>Lewis Hamilton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'Dashboard Data'!$AC$4:$AZ$4</c:f>
              <c:strCache>
                <c:ptCount val="24"/>
                <c:pt idx="0">
                  <c:v>AUSTRALIA</c:v>
                </c:pt>
                <c:pt idx="1">
                  <c:v>CHINA</c:v>
                </c:pt>
                <c:pt idx="2">
                  <c:v>JAPAN</c:v>
                </c:pt>
                <c:pt idx="3">
                  <c:v>BAHRAIN</c:v>
                </c:pt>
                <c:pt idx="4">
                  <c:v>SAUDI ARABIA</c:v>
                </c:pt>
                <c:pt idx="5">
                  <c:v>MIAMI</c:v>
                </c:pt>
                <c:pt idx="6">
                  <c:v>CANADA</c:v>
                </c:pt>
                <c:pt idx="7">
                  <c:v>MONACO</c:v>
                </c:pt>
                <c:pt idx="8">
                  <c:v>BARCELONA</c:v>
                </c:pt>
                <c:pt idx="9">
                  <c:v>AUSTRIA</c:v>
                </c:pt>
                <c:pt idx="10">
                  <c:v>GREAT BRITAIN</c:v>
                </c:pt>
                <c:pt idx="11">
                  <c:v>BELGIUM</c:v>
                </c:pt>
                <c:pt idx="12">
                  <c:v>HUNGARY</c:v>
                </c:pt>
                <c:pt idx="13">
                  <c:v>NETHERLANDS</c:v>
                </c:pt>
                <c:pt idx="14">
                  <c:v>ITALY</c:v>
                </c:pt>
                <c:pt idx="15">
                  <c:v>SPAIN (MADRID)</c:v>
                </c:pt>
                <c:pt idx="16">
                  <c:v>AZERBAIJAN</c:v>
                </c:pt>
                <c:pt idx="17">
                  <c:v>SINGAPORE</c:v>
                </c:pt>
                <c:pt idx="18">
                  <c:v>UNITED STATES</c:v>
                </c:pt>
                <c:pt idx="19">
                  <c:v>MEXICO</c:v>
                </c:pt>
                <c:pt idx="20">
                  <c:v>BRAZIL</c:v>
                </c:pt>
                <c:pt idx="21">
                  <c:v>LAS VEGAS</c:v>
                </c:pt>
                <c:pt idx="22">
                  <c:v>QATAR</c:v>
                </c:pt>
                <c:pt idx="23">
                  <c:v>ABU DHABI</c:v>
                </c:pt>
              </c:strCache>
            </c:strRef>
          </c:cat>
          <c:val>
            <c:numRef>
              <c:f>'Dashboard Data'!$AC$6:$AZ$6</c:f>
              <c:numCache>
                <c:formatCode>General</c:formatCode>
                <c:ptCount val="24"/>
                <c:pt idx="0">
                  <c:v>12</c:v>
                </c:pt>
                <c:pt idx="1">
                  <c:v>33</c:v>
                </c:pt>
                <c:pt idx="2">
                  <c:v>41</c:v>
                </c:pt>
                <c:pt idx="3">
                  <c:v>41</c:v>
                </c:pt>
                <c:pt idx="4">
                  <c:v>41</c:v>
                </c:pt>
                <c:pt idx="5">
                  <c:v>51</c:v>
                </c:pt>
                <c:pt idx="6">
                  <c:v>72</c:v>
                </c:pt>
                <c:pt idx="7">
                  <c:v>90</c:v>
                </c:pt>
                <c:pt idx="8">
                  <c:v>115</c:v>
                </c:pt>
                <c:pt idx="9">
                  <c:v>125</c:v>
                </c:pt>
                <c:pt idx="10">
                  <c:v>147</c:v>
                </c:pt>
                <c:pt idx="11">
                  <c:v>159</c:v>
                </c:pt>
                <c:pt idx="12">
                  <c:v>169</c:v>
                </c:pt>
                <c:pt idx="13">
                  <c:v>169</c:v>
                </c:pt>
                <c:pt idx="14">
                  <c:v>169</c:v>
                </c:pt>
                <c:pt idx="15">
                  <c:v>169</c:v>
                </c:pt>
                <c:pt idx="16">
                  <c:v>169</c:v>
                </c:pt>
                <c:pt idx="17">
                  <c:v>169</c:v>
                </c:pt>
                <c:pt idx="18">
                  <c:v>169</c:v>
                </c:pt>
                <c:pt idx="19">
                  <c:v>169</c:v>
                </c:pt>
                <c:pt idx="20">
                  <c:v>169</c:v>
                </c:pt>
                <c:pt idx="21">
                  <c:v>169</c:v>
                </c:pt>
                <c:pt idx="22">
                  <c:v>169</c:v>
                </c:pt>
                <c:pt idx="23">
                  <c:v>169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50-4700-9C4A-078FFEDAF310}"/>
            </c:ext>
          </c:extLst>
        </c:ser>
        <c:ser>
          <c:idx val="2"/>
          <c:order val="2"/>
          <c:tx>
            <c:strRef>
              <c:f>'Dashboard Data'!$AB$7</c:f>
              <c:strCache>
                <c:ptCount val="1"/>
                <c:pt idx="0">
                  <c:v>Charles Leclerc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'Dashboard Data'!$AC$4:$AZ$4</c:f>
              <c:strCache>
                <c:ptCount val="24"/>
                <c:pt idx="0">
                  <c:v>AUSTRALIA</c:v>
                </c:pt>
                <c:pt idx="1">
                  <c:v>CHINA</c:v>
                </c:pt>
                <c:pt idx="2">
                  <c:v>JAPAN</c:v>
                </c:pt>
                <c:pt idx="3">
                  <c:v>BAHRAIN</c:v>
                </c:pt>
                <c:pt idx="4">
                  <c:v>SAUDI ARABIA</c:v>
                </c:pt>
                <c:pt idx="5">
                  <c:v>MIAMI</c:v>
                </c:pt>
                <c:pt idx="6">
                  <c:v>CANADA</c:v>
                </c:pt>
                <c:pt idx="7">
                  <c:v>MONACO</c:v>
                </c:pt>
                <c:pt idx="8">
                  <c:v>BARCELONA</c:v>
                </c:pt>
                <c:pt idx="9">
                  <c:v>AUSTRIA</c:v>
                </c:pt>
                <c:pt idx="10">
                  <c:v>GREAT BRITAIN</c:v>
                </c:pt>
                <c:pt idx="11">
                  <c:v>BELGIUM</c:v>
                </c:pt>
                <c:pt idx="12">
                  <c:v>HUNGARY</c:v>
                </c:pt>
                <c:pt idx="13">
                  <c:v>NETHERLANDS</c:v>
                </c:pt>
                <c:pt idx="14">
                  <c:v>ITALY</c:v>
                </c:pt>
                <c:pt idx="15">
                  <c:v>SPAIN (MADRID)</c:v>
                </c:pt>
                <c:pt idx="16">
                  <c:v>AZERBAIJAN</c:v>
                </c:pt>
                <c:pt idx="17">
                  <c:v>SINGAPORE</c:v>
                </c:pt>
                <c:pt idx="18">
                  <c:v>UNITED STATES</c:v>
                </c:pt>
                <c:pt idx="19">
                  <c:v>MEXICO</c:v>
                </c:pt>
                <c:pt idx="20">
                  <c:v>BRAZIL</c:v>
                </c:pt>
                <c:pt idx="21">
                  <c:v>LAS VEGAS</c:v>
                </c:pt>
                <c:pt idx="22">
                  <c:v>QATAR</c:v>
                </c:pt>
                <c:pt idx="23">
                  <c:v>ABU DHABI</c:v>
                </c:pt>
              </c:strCache>
            </c:strRef>
          </c:cat>
          <c:val>
            <c:numRef>
              <c:f>'Dashboard Data'!$AC$7:$AZ$7</c:f>
              <c:numCache>
                <c:formatCode>General</c:formatCode>
                <c:ptCount val="24"/>
                <c:pt idx="0">
                  <c:v>15</c:v>
                </c:pt>
                <c:pt idx="1">
                  <c:v>34</c:v>
                </c:pt>
                <c:pt idx="2">
                  <c:v>49</c:v>
                </c:pt>
                <c:pt idx="3">
                  <c:v>49</c:v>
                </c:pt>
                <c:pt idx="4">
                  <c:v>49</c:v>
                </c:pt>
                <c:pt idx="5">
                  <c:v>59</c:v>
                </c:pt>
                <c:pt idx="6">
                  <c:v>75</c:v>
                </c:pt>
                <c:pt idx="7">
                  <c:v>75</c:v>
                </c:pt>
                <c:pt idx="8">
                  <c:v>75</c:v>
                </c:pt>
                <c:pt idx="9">
                  <c:v>79</c:v>
                </c:pt>
                <c:pt idx="10">
                  <c:v>108</c:v>
                </c:pt>
                <c:pt idx="11">
                  <c:v>126</c:v>
                </c:pt>
                <c:pt idx="12">
                  <c:v>138</c:v>
                </c:pt>
                <c:pt idx="13">
                  <c:v>138</c:v>
                </c:pt>
                <c:pt idx="14">
                  <c:v>138</c:v>
                </c:pt>
                <c:pt idx="15">
                  <c:v>138</c:v>
                </c:pt>
                <c:pt idx="16">
                  <c:v>138</c:v>
                </c:pt>
                <c:pt idx="17">
                  <c:v>138</c:v>
                </c:pt>
                <c:pt idx="18">
                  <c:v>138</c:v>
                </c:pt>
                <c:pt idx="19">
                  <c:v>138</c:v>
                </c:pt>
                <c:pt idx="20">
                  <c:v>138</c:v>
                </c:pt>
                <c:pt idx="21">
                  <c:v>138</c:v>
                </c:pt>
                <c:pt idx="22">
                  <c:v>138</c:v>
                </c:pt>
                <c:pt idx="23">
                  <c:v>138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550-4700-9C4A-078FFEDAF310}"/>
            </c:ext>
          </c:extLst>
        </c:ser>
        <c:ser>
          <c:idx val="3"/>
          <c:order val="3"/>
          <c:tx>
            <c:strRef>
              <c:f>'Dashboard Data'!$AB$8</c:f>
              <c:strCache>
                <c:ptCount val="1"/>
                <c:pt idx="0">
                  <c:v>Lando Norris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strRef>
              <c:f>'Dashboard Data'!$AC$4:$AZ$4</c:f>
              <c:strCache>
                <c:ptCount val="24"/>
                <c:pt idx="0">
                  <c:v>AUSTRALIA</c:v>
                </c:pt>
                <c:pt idx="1">
                  <c:v>CHINA</c:v>
                </c:pt>
                <c:pt idx="2">
                  <c:v>JAPAN</c:v>
                </c:pt>
                <c:pt idx="3">
                  <c:v>BAHRAIN</c:v>
                </c:pt>
                <c:pt idx="4">
                  <c:v>SAUDI ARABIA</c:v>
                </c:pt>
                <c:pt idx="5">
                  <c:v>MIAMI</c:v>
                </c:pt>
                <c:pt idx="6">
                  <c:v>CANADA</c:v>
                </c:pt>
                <c:pt idx="7">
                  <c:v>MONACO</c:v>
                </c:pt>
                <c:pt idx="8">
                  <c:v>BARCELONA</c:v>
                </c:pt>
                <c:pt idx="9">
                  <c:v>AUSTRIA</c:v>
                </c:pt>
                <c:pt idx="10">
                  <c:v>GREAT BRITAIN</c:v>
                </c:pt>
                <c:pt idx="11">
                  <c:v>BELGIUM</c:v>
                </c:pt>
                <c:pt idx="12">
                  <c:v>HUNGARY</c:v>
                </c:pt>
                <c:pt idx="13">
                  <c:v>NETHERLANDS</c:v>
                </c:pt>
                <c:pt idx="14">
                  <c:v>ITALY</c:v>
                </c:pt>
                <c:pt idx="15">
                  <c:v>SPAIN (MADRID)</c:v>
                </c:pt>
                <c:pt idx="16">
                  <c:v>AZERBAIJAN</c:v>
                </c:pt>
                <c:pt idx="17">
                  <c:v>SINGAPORE</c:v>
                </c:pt>
                <c:pt idx="18">
                  <c:v>UNITED STATES</c:v>
                </c:pt>
                <c:pt idx="19">
                  <c:v>MEXICO</c:v>
                </c:pt>
                <c:pt idx="20">
                  <c:v>BRAZIL</c:v>
                </c:pt>
                <c:pt idx="21">
                  <c:v>LAS VEGAS</c:v>
                </c:pt>
                <c:pt idx="22">
                  <c:v>QATAR</c:v>
                </c:pt>
                <c:pt idx="23">
                  <c:v>ABU DHABI</c:v>
                </c:pt>
              </c:strCache>
            </c:strRef>
          </c:cat>
          <c:val>
            <c:numRef>
              <c:f>'Dashboard Data'!$AC$8:$AZ$8</c:f>
              <c:numCache>
                <c:formatCode>General</c:formatCode>
                <c:ptCount val="24"/>
                <c:pt idx="0">
                  <c:v>10</c:v>
                </c:pt>
                <c:pt idx="1">
                  <c:v>15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51</c:v>
                </c:pt>
                <c:pt idx="6">
                  <c:v>58</c:v>
                </c:pt>
                <c:pt idx="7">
                  <c:v>58</c:v>
                </c:pt>
                <c:pt idx="8">
                  <c:v>73</c:v>
                </c:pt>
                <c:pt idx="9">
                  <c:v>79</c:v>
                </c:pt>
                <c:pt idx="10">
                  <c:v>97</c:v>
                </c:pt>
                <c:pt idx="11">
                  <c:v>103</c:v>
                </c:pt>
                <c:pt idx="12">
                  <c:v>128</c:v>
                </c:pt>
                <c:pt idx="13">
                  <c:v>128</c:v>
                </c:pt>
                <c:pt idx="14">
                  <c:v>128</c:v>
                </c:pt>
                <c:pt idx="15">
                  <c:v>128</c:v>
                </c:pt>
                <c:pt idx="16">
                  <c:v>128</c:v>
                </c:pt>
                <c:pt idx="17">
                  <c:v>128</c:v>
                </c:pt>
                <c:pt idx="18">
                  <c:v>128</c:v>
                </c:pt>
                <c:pt idx="19">
                  <c:v>128</c:v>
                </c:pt>
                <c:pt idx="20">
                  <c:v>128</c:v>
                </c:pt>
                <c:pt idx="21">
                  <c:v>128</c:v>
                </c:pt>
                <c:pt idx="22">
                  <c:v>128</c:v>
                </c:pt>
                <c:pt idx="23">
                  <c:v>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550-4700-9C4A-078FFEDAF310}"/>
            </c:ext>
          </c:extLst>
        </c:ser>
        <c:ser>
          <c:idx val="4"/>
          <c:order val="4"/>
          <c:tx>
            <c:strRef>
              <c:f>'Dashboard Data'!$AB$9</c:f>
              <c:strCache>
                <c:ptCount val="1"/>
                <c:pt idx="0">
                  <c:v>Kimi Antonelli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strRef>
              <c:f>'Dashboard Data'!$AC$4:$AZ$4</c:f>
              <c:strCache>
                <c:ptCount val="24"/>
                <c:pt idx="0">
                  <c:v>AUSTRALIA</c:v>
                </c:pt>
                <c:pt idx="1">
                  <c:v>CHINA</c:v>
                </c:pt>
                <c:pt idx="2">
                  <c:v>JAPAN</c:v>
                </c:pt>
                <c:pt idx="3">
                  <c:v>BAHRAIN</c:v>
                </c:pt>
                <c:pt idx="4">
                  <c:v>SAUDI ARABIA</c:v>
                </c:pt>
                <c:pt idx="5">
                  <c:v>MIAMI</c:v>
                </c:pt>
                <c:pt idx="6">
                  <c:v>CANADA</c:v>
                </c:pt>
                <c:pt idx="7">
                  <c:v>MONACO</c:v>
                </c:pt>
                <c:pt idx="8">
                  <c:v>BARCELONA</c:v>
                </c:pt>
                <c:pt idx="9">
                  <c:v>AUSTRIA</c:v>
                </c:pt>
                <c:pt idx="10">
                  <c:v>GREAT BRITAIN</c:v>
                </c:pt>
                <c:pt idx="11">
                  <c:v>BELGIUM</c:v>
                </c:pt>
                <c:pt idx="12">
                  <c:v>HUNGARY</c:v>
                </c:pt>
                <c:pt idx="13">
                  <c:v>NETHERLANDS</c:v>
                </c:pt>
                <c:pt idx="14">
                  <c:v>ITALY</c:v>
                </c:pt>
                <c:pt idx="15">
                  <c:v>SPAIN (MADRID)</c:v>
                </c:pt>
                <c:pt idx="16">
                  <c:v>AZERBAIJAN</c:v>
                </c:pt>
                <c:pt idx="17">
                  <c:v>SINGAPORE</c:v>
                </c:pt>
                <c:pt idx="18">
                  <c:v>UNITED STATES</c:v>
                </c:pt>
                <c:pt idx="19">
                  <c:v>MEXICO</c:v>
                </c:pt>
                <c:pt idx="20">
                  <c:v>BRAZIL</c:v>
                </c:pt>
                <c:pt idx="21">
                  <c:v>LAS VEGAS</c:v>
                </c:pt>
                <c:pt idx="22">
                  <c:v>QATAR</c:v>
                </c:pt>
                <c:pt idx="23">
                  <c:v>ABU DHABI</c:v>
                </c:pt>
              </c:strCache>
            </c:strRef>
          </c:cat>
          <c:val>
            <c:numRef>
              <c:f>'Dashboard Data'!$AC$9:$AZ$9</c:f>
              <c:numCache>
                <c:formatCode>General</c:formatCode>
                <c:ptCount val="24"/>
                <c:pt idx="0">
                  <c:v>18</c:v>
                </c:pt>
                <c:pt idx="1">
                  <c:v>47</c:v>
                </c:pt>
                <c:pt idx="2">
                  <c:v>72</c:v>
                </c:pt>
                <c:pt idx="3">
                  <c:v>72</c:v>
                </c:pt>
                <c:pt idx="4">
                  <c:v>72</c:v>
                </c:pt>
                <c:pt idx="5">
                  <c:v>100</c:v>
                </c:pt>
                <c:pt idx="6">
                  <c:v>131</c:v>
                </c:pt>
                <c:pt idx="7">
                  <c:v>156</c:v>
                </c:pt>
                <c:pt idx="8">
                  <c:v>156</c:v>
                </c:pt>
                <c:pt idx="9">
                  <c:v>171</c:v>
                </c:pt>
                <c:pt idx="10">
                  <c:v>179</c:v>
                </c:pt>
                <c:pt idx="11">
                  <c:v>204</c:v>
                </c:pt>
                <c:pt idx="12">
                  <c:v>219</c:v>
                </c:pt>
                <c:pt idx="13">
                  <c:v>219</c:v>
                </c:pt>
                <c:pt idx="14">
                  <c:v>219</c:v>
                </c:pt>
                <c:pt idx="15">
                  <c:v>219</c:v>
                </c:pt>
                <c:pt idx="16">
                  <c:v>219</c:v>
                </c:pt>
                <c:pt idx="17">
                  <c:v>219</c:v>
                </c:pt>
                <c:pt idx="18">
                  <c:v>219</c:v>
                </c:pt>
                <c:pt idx="19">
                  <c:v>219</c:v>
                </c:pt>
                <c:pt idx="20">
                  <c:v>219</c:v>
                </c:pt>
                <c:pt idx="21">
                  <c:v>219</c:v>
                </c:pt>
                <c:pt idx="22">
                  <c:v>219</c:v>
                </c:pt>
                <c:pt idx="23">
                  <c:v>219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550-4700-9C4A-078FFEDAF3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1393423"/>
        <c:axId val="1711393903"/>
      </c:lineChart>
      <c:catAx>
        <c:axId val="1711393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1" u="sng" strike="noStrike" kern="1200" baseline="0">
                <a:solidFill>
                  <a:sysClr val="windowText" lastClr="000000"/>
                </a:solidFill>
                <a:latin typeface="Agency FB" panose="020B0503020202020204" pitchFamily="34" charset="0"/>
                <a:ea typeface="+mn-ea"/>
                <a:cs typeface="+mn-cs"/>
              </a:defRPr>
            </a:pPr>
            <a:endParaRPr lang="en-US"/>
          </a:p>
        </c:txPr>
        <c:crossAx val="1711393903"/>
        <c:crosses val="autoZero"/>
        <c:auto val="1"/>
        <c:lblAlgn val="ctr"/>
        <c:lblOffset val="100"/>
        <c:noMultiLvlLbl val="0"/>
      </c:catAx>
      <c:valAx>
        <c:axId val="1711393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1" u="none" strike="noStrike" kern="1200" baseline="0">
                <a:solidFill>
                  <a:sysClr val="windowText" lastClr="000000"/>
                </a:solidFill>
                <a:latin typeface="Agency FB" panose="020B0503020202020204" pitchFamily="34" charset="0"/>
                <a:ea typeface="+mn-ea"/>
                <a:cs typeface="+mn-cs"/>
              </a:defRPr>
            </a:pPr>
            <a:endParaRPr lang="en-US"/>
          </a:p>
        </c:txPr>
        <c:crossAx val="1711393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 sz="1600" b="1" i="1" u="sng" strike="noStrike" baseline="0">
                <a:solidFill>
                  <a:sysClr val="windowText" lastClr="000000"/>
                </a:solidFill>
                <a:latin typeface="Agency FB" panose="020B0503020202020204" pitchFamily="34" charset="0"/>
              </a:rPr>
              <a:t>Gap-To-Leader Bar Chart</a:t>
            </a:r>
            <a:endParaRPr lang="en-US" sz="1600" b="1" i="1" u="sng">
              <a:solidFill>
                <a:sysClr val="windowText" lastClr="000000"/>
              </a:solidFill>
              <a:latin typeface="Agency FB" panose="020B0503020202020204" pitchFamily="34" charset="0"/>
            </a:endParaRPr>
          </a:p>
        </c:rich>
      </c:tx>
      <c:layout>
        <c:manualLayout>
          <c:xMode val="edge"/>
          <c:yMode val="edge"/>
          <c:x val="0.36678883458030614"/>
          <c:y val="2.06947487889701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'Dashboard Data'!$BD$1</c:f>
              <c:strCache>
                <c:ptCount val="1"/>
                <c:pt idx="0">
                  <c:v>Gap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1" u="none" strike="noStrike" kern="1200" baseline="0">
                    <a:solidFill>
                      <a:sysClr val="windowText" lastClr="000000"/>
                    </a:solidFill>
                    <a:latin typeface="Agency FB" panose="020B0503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'Dashboard Data'!$BB$2:$BB$23</c:f>
              <c:strCache>
                <c:ptCount val="22"/>
                <c:pt idx="0">
                  <c:v>Kimi Antonelli</c:v>
                </c:pt>
                <c:pt idx="1">
                  <c:v>George Russell</c:v>
                </c:pt>
                <c:pt idx="2">
                  <c:v>Lewis Hamilton</c:v>
                </c:pt>
                <c:pt idx="3">
                  <c:v>Charles Leclerc</c:v>
                </c:pt>
                <c:pt idx="4">
                  <c:v>Lando Norris</c:v>
                </c:pt>
                <c:pt idx="5">
                  <c:v>Oscar Piastri</c:v>
                </c:pt>
                <c:pt idx="6">
                  <c:v>Max Verstappen</c:v>
                </c:pt>
                <c:pt idx="7">
                  <c:v>Isack Hadjar</c:v>
                </c:pt>
                <c:pt idx="8">
                  <c:v>Pierre Gasly</c:v>
                </c:pt>
                <c:pt idx="9">
                  <c:v>Franco Colapinto</c:v>
                </c:pt>
                <c:pt idx="10">
                  <c:v>Arvid Lindblad</c:v>
                </c:pt>
                <c:pt idx="11">
                  <c:v>Liam Lawson</c:v>
                </c:pt>
                <c:pt idx="12">
                  <c:v>Oliver Bearman</c:v>
                </c:pt>
                <c:pt idx="13">
                  <c:v>Esteban Ocon</c:v>
                </c:pt>
                <c:pt idx="14">
                  <c:v>Nico Hulkenberg</c:v>
                </c:pt>
                <c:pt idx="15">
                  <c:v>Gabriel Bortoleto</c:v>
                </c:pt>
                <c:pt idx="16">
                  <c:v>Alexander Albon</c:v>
                </c:pt>
                <c:pt idx="17">
                  <c:v>Carlos Sainz</c:v>
                </c:pt>
                <c:pt idx="18">
                  <c:v>Fernando Alonso</c:v>
                </c:pt>
                <c:pt idx="19">
                  <c:v>Lance Stroll</c:v>
                </c:pt>
                <c:pt idx="20">
                  <c:v>Sergio Perez</c:v>
                </c:pt>
                <c:pt idx="21">
                  <c:v>Valtteri Bottas</c:v>
                </c:pt>
              </c:strCache>
            </c:strRef>
          </c:cat>
          <c:val>
            <c:numRef>
              <c:f>'Dashboard Data'!$BD$2:$BD$23</c:f>
              <c:numCache>
                <c:formatCode>General</c:formatCode>
                <c:ptCount val="22"/>
                <c:pt idx="0">
                  <c:v>0</c:v>
                </c:pt>
                <c:pt idx="1">
                  <c:v>59</c:v>
                </c:pt>
                <c:pt idx="2">
                  <c:v>50</c:v>
                </c:pt>
                <c:pt idx="3">
                  <c:v>81</c:v>
                </c:pt>
                <c:pt idx="4">
                  <c:v>91</c:v>
                </c:pt>
                <c:pt idx="5">
                  <c:v>127</c:v>
                </c:pt>
                <c:pt idx="6">
                  <c:v>110</c:v>
                </c:pt>
                <c:pt idx="7">
                  <c:v>151</c:v>
                </c:pt>
                <c:pt idx="8">
                  <c:v>177</c:v>
                </c:pt>
                <c:pt idx="9">
                  <c:v>200</c:v>
                </c:pt>
                <c:pt idx="10">
                  <c:v>196</c:v>
                </c:pt>
                <c:pt idx="11">
                  <c:v>176</c:v>
                </c:pt>
                <c:pt idx="12">
                  <c:v>201</c:v>
                </c:pt>
                <c:pt idx="13">
                  <c:v>216</c:v>
                </c:pt>
                <c:pt idx="14">
                  <c:v>217</c:v>
                </c:pt>
                <c:pt idx="15">
                  <c:v>209</c:v>
                </c:pt>
                <c:pt idx="16">
                  <c:v>214</c:v>
                </c:pt>
                <c:pt idx="17">
                  <c:v>213</c:v>
                </c:pt>
                <c:pt idx="18">
                  <c:v>218</c:v>
                </c:pt>
                <c:pt idx="19">
                  <c:v>219</c:v>
                </c:pt>
                <c:pt idx="20">
                  <c:v>219</c:v>
                </c:pt>
                <c:pt idx="21">
                  <c:v>219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58-4981-B1A6-9805F62288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40"/>
        <c:axId val="1714884847"/>
        <c:axId val="1714895887"/>
      </c:barChart>
      <c:catAx>
        <c:axId val="17148848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1" u="sng" strike="noStrike" kern="1200" baseline="0">
                <a:solidFill>
                  <a:sysClr val="windowText" lastClr="000000"/>
                </a:solidFill>
                <a:latin typeface="Agency FB" panose="020B0503020202020204" pitchFamily="34" charset="0"/>
                <a:ea typeface="+mn-ea"/>
                <a:cs typeface="+mn-cs"/>
              </a:defRPr>
            </a:pPr>
            <a:endParaRPr lang="en-US"/>
          </a:p>
        </c:txPr>
        <c:crossAx val="1714895887"/>
        <c:crosses val="autoZero"/>
        <c:auto val="1"/>
        <c:lblAlgn val="ctr"/>
        <c:lblOffset val="100"/>
        <c:noMultiLvlLbl val="0"/>
      </c:catAx>
      <c:valAx>
        <c:axId val="1714895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1" u="none" strike="noStrike" kern="1200" baseline="0">
                <a:solidFill>
                  <a:sysClr val="windowText" lastClr="000000"/>
                </a:solidFill>
                <a:latin typeface="Agency FB" panose="020B0503020202020204" pitchFamily="34" charset="0"/>
                <a:ea typeface="+mn-ea"/>
                <a:cs typeface="+mn-cs"/>
              </a:defRPr>
            </a:pPr>
            <a:endParaRPr lang="en-US"/>
          </a:p>
        </c:txPr>
        <c:crossAx val="1714884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1" u="sng" strike="noStrike" kern="1200" baseline="0">
              <a:solidFill>
                <a:sysClr val="windowText" lastClr="000000"/>
              </a:solidFill>
              <a:latin typeface="Agency FB" panose="020B0503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4352</xdr:colOff>
      <xdr:row>1</xdr:row>
      <xdr:rowOff>0</xdr:rowOff>
    </xdr:from>
    <xdr:to>
      <xdr:col>21</xdr:col>
      <xdr:colOff>26125</xdr:colOff>
      <xdr:row>28</xdr:row>
      <xdr:rowOff>174170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62BF173-A066-4C4F-9089-9559044FCA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224245</xdr:colOff>
      <xdr:row>0</xdr:row>
      <xdr:rowOff>178523</xdr:rowOff>
    </xdr:from>
    <xdr:to>
      <xdr:col>34</xdr:col>
      <xdr:colOff>60960</xdr:colOff>
      <xdr:row>28</xdr:row>
      <xdr:rowOff>158931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5CE7F24-9777-433D-939C-D824E60EF2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280D490-D4D3-43A3-A20D-31221A04B60B}" name="Table2" displayName="Table2" ref="E3:G8" totalsRowShown="0" headerRowDxfId="21" dataDxfId="20">
  <autoFilter ref="E3:G8" xr:uid="{4280D490-D4D3-43A3-A20D-31221A04B60B}"/>
  <tableColumns count="3">
    <tableColumn id="1" xr3:uid="{E88D70F2-B220-443A-9C88-8BDB3414BE2E}" name="Rank" dataDxfId="19"/>
    <tableColumn id="2" xr3:uid="{819A3862-68F5-4864-A4DB-D8FEBA20F88B}" name="Team" dataDxfId="18">
      <calculatedColumnFormula>'Constructors Standings'!AC2</calculatedColumnFormula>
    </tableColumn>
    <tableColumn id="3" xr3:uid="{91FD9857-103C-4298-BA33-256B39B65DD9}" name="Points" dataDxfId="17">
      <calculatedColumnFormula>'Constructors Standings'!AD2</calculatedColumnFormula>
    </tableColumn>
  </tableColumns>
  <tableStyleInfo name="TableStyleDark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F4CE16-89B2-4DA7-82DE-AC1342F239B3}" name="Table3" displayName="Table3" ref="B3:D8" totalsRowShown="0" headerRowDxfId="16" dataDxfId="15">
  <autoFilter ref="B3:D8" xr:uid="{C9F4CE16-89B2-4DA7-82DE-AC1342F239B3}"/>
  <tableColumns count="3">
    <tableColumn id="1" xr3:uid="{4537E759-109B-4EBD-A344-E255E63C6270}" name="Rank" dataDxfId="14"/>
    <tableColumn id="2" xr3:uid="{5E4B89B7-E359-4BDB-94E6-F53C078F3BA5}" name="Driver" dataDxfId="13">
      <calculatedColumnFormula>'Drivers'' Standings'!AE2</calculatedColumnFormula>
    </tableColumn>
    <tableColumn id="3" xr3:uid="{62B1C38D-704A-41CF-95E9-3BCB8A5241B3}" name="Points" dataDxfId="12">
      <calculatedColumnFormula>'Drivers'' Standings'!AF2</calculatedColumnFormula>
    </tableColumn>
  </tableColumns>
  <tableStyleInfo name="TableStyleDark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D1B7CF-5273-4AB7-831E-599AF89C2ED8}" name="Table1" displayName="Table1" ref="AD1:AF23" totalsRowShown="0" headerRowDxfId="11" dataDxfId="10">
  <autoFilter ref="AD1:AF23" xr:uid="{70D1B7CF-5273-4AB7-831E-599AF89C2ED8}"/>
  <tableColumns count="3">
    <tableColumn id="1" xr3:uid="{A3E7A5CE-5089-4B54-B6F6-EF0FC064E0A8}" name="RANK" dataDxfId="9">
      <calculatedColumnFormula>ROW()-1</calculatedColumnFormula>
    </tableColumn>
    <tableColumn id="2" xr3:uid="{AEF03291-BBEF-420B-B63C-52CA498C7574}" name="DRIVER" dataDxfId="8">
      <calculatedColumnFormula>INDEX($B$2:$B$23,MATCH(AD2,$AA$2:$AA$23,0))</calculatedColumnFormula>
    </tableColumn>
    <tableColumn id="3" xr3:uid="{F47480B5-F91D-474C-8CCB-A603161AC8A5}" name="POINTS" dataDxfId="7">
      <calculatedColumnFormula>INDEX($AB$2:$AB$23,MATCH(AD2,$AA$2:$AA$23,0))</calculatedColumnFormula>
    </tableColumn>
  </tableColumns>
  <tableStyleInfo name="TableStyleDark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5B324FA-8D76-45F8-AF65-C229EA767CC7}" name="Table7" displayName="Table7" ref="Z1:Z12" totalsRowShown="0" headerRowDxfId="25" dataDxfId="24" tableBorderDxfId="23">
  <autoFilter ref="Z1:Z12" xr:uid="{75B324FA-8D76-45F8-AF65-C229EA767CC7}"/>
  <tableColumns count="1">
    <tableColumn id="1" xr3:uid="{44EB4C70-286C-4A21-A881-4C84C5B3BD28}" name="POINTS" dataDxfId="22">
      <calculatedColumnFormula>SUM(B2:Y2)</calculatedColumnFormula>
    </tableColumn>
  </tableColumns>
  <tableStyleInfo name="TableStyleDark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F2F6761-0928-4452-9C1C-685D50BCC667}" name="Table36" displayName="Table36" ref="A1:B12" totalsRowShown="0" dataDxfId="6">
  <autoFilter ref="A1:B12" xr:uid="{5F2F6761-0928-4452-9C1C-685D50BCC667}"/>
  <tableColumns count="2">
    <tableColumn id="1" xr3:uid="{8D5FE21A-C029-4D58-B8C9-20DF196E4C79}" name="Poisition" dataDxfId="5"/>
    <tableColumn id="2" xr3:uid="{BD677C91-826A-490D-BDCF-9C17E92D1111}" name="Points" dataDxfId="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49C6839-71CC-42B0-9072-6BE52BA427E8}" name="Table9" displayName="Table9" ref="D1:E10" totalsRowShown="0" headerRowDxfId="3" dataDxfId="2">
  <autoFilter ref="D1:E10" xr:uid="{249C6839-71CC-42B0-9072-6BE52BA427E8}"/>
  <tableColumns count="2">
    <tableColumn id="1" xr3:uid="{84C945CF-6699-4EA6-8AEE-7C859E864338}" name="Position" dataDxfId="1"/>
    <tableColumn id="2" xr3:uid="{5CD09417-EE6D-420F-B13D-AEB9136A5DB9}" name="Point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B89A1-7432-43FC-ABF9-3602358DF787}">
  <sheetPr>
    <tabColor rgb="FF002060"/>
  </sheetPr>
  <dimension ref="B2:G11"/>
  <sheetViews>
    <sheetView topLeftCell="C1" zoomScale="80" zoomScaleNormal="80" workbookViewId="0">
      <selection activeCell="G23" sqref="G23"/>
    </sheetView>
  </sheetViews>
  <sheetFormatPr defaultRowHeight="14.4" x14ac:dyDescent="0.3"/>
  <cols>
    <col min="1" max="1" width="8.88671875" customWidth="1"/>
    <col min="2" max="6" width="16.77734375" customWidth="1"/>
    <col min="7" max="7" width="8.88671875" customWidth="1"/>
  </cols>
  <sheetData>
    <row r="2" spans="2:7" ht="22.2" x14ac:dyDescent="0.3">
      <c r="B2" s="58" t="s">
        <v>96</v>
      </c>
      <c r="C2" s="58"/>
      <c r="D2" s="58"/>
      <c r="E2" s="58"/>
      <c r="F2" s="58"/>
      <c r="G2" s="58"/>
    </row>
    <row r="3" spans="2:7" ht="22.2" x14ac:dyDescent="0.35">
      <c r="B3" s="45" t="s">
        <v>95</v>
      </c>
      <c r="C3" s="45" t="s">
        <v>1</v>
      </c>
      <c r="D3" s="45" t="s">
        <v>3</v>
      </c>
      <c r="E3" s="45" t="s">
        <v>95</v>
      </c>
      <c r="F3" s="45" t="s">
        <v>2</v>
      </c>
      <c r="G3" s="45" t="s">
        <v>3</v>
      </c>
    </row>
    <row r="4" spans="2:7" ht="22.2" x14ac:dyDescent="0.35">
      <c r="B4" s="45">
        <v>1</v>
      </c>
      <c r="C4" s="45" t="str">
        <f>'Drivers'' Standings'!AE2</f>
        <v>ANT</v>
      </c>
      <c r="D4" s="45">
        <f>'Drivers'' Standings'!AF2</f>
        <v>219</v>
      </c>
      <c r="E4" s="45">
        <v>1</v>
      </c>
      <c r="F4" s="45" t="str">
        <f>'Constructors Standings'!AC2</f>
        <v>Mercedes</v>
      </c>
      <c r="G4" s="45">
        <f>'Constructors Standings'!AD2</f>
        <v>379</v>
      </c>
    </row>
    <row r="5" spans="2:7" ht="22.2" x14ac:dyDescent="0.35">
      <c r="B5" s="45">
        <v>2</v>
      </c>
      <c r="C5" s="45" t="str">
        <f>'Drivers'' Standings'!AE3</f>
        <v>HAM</v>
      </c>
      <c r="D5" s="45">
        <f>'Drivers'' Standings'!AF3</f>
        <v>169</v>
      </c>
      <c r="E5" s="45">
        <v>2</v>
      </c>
      <c r="F5" s="45" t="str">
        <f>'Constructors Standings'!AC3</f>
        <v>Ferrari</v>
      </c>
      <c r="G5" s="45">
        <f>'Constructors Standings'!AD3</f>
        <v>307</v>
      </c>
    </row>
    <row r="6" spans="2:7" ht="22.2" x14ac:dyDescent="0.35">
      <c r="B6" s="45">
        <v>3</v>
      </c>
      <c r="C6" s="45" t="str">
        <f>'Drivers'' Standings'!AE4</f>
        <v>RUS</v>
      </c>
      <c r="D6" s="45">
        <f>'Drivers'' Standings'!AF4</f>
        <v>160</v>
      </c>
      <c r="E6" s="45">
        <v>3</v>
      </c>
      <c r="F6" s="45" t="str">
        <f>'Constructors Standings'!AC4</f>
        <v>McLaren</v>
      </c>
      <c r="G6" s="45">
        <f>'Constructors Standings'!AD4</f>
        <v>220</v>
      </c>
    </row>
    <row r="7" spans="2:7" ht="22.2" x14ac:dyDescent="0.35">
      <c r="B7" s="45">
        <v>4</v>
      </c>
      <c r="C7" s="45" t="str">
        <f>'Drivers'' Standings'!AE5</f>
        <v>LEC</v>
      </c>
      <c r="D7" s="45">
        <f>'Drivers'' Standings'!AF5</f>
        <v>138</v>
      </c>
      <c r="E7" s="45">
        <v>4</v>
      </c>
      <c r="F7" s="45" t="str">
        <f>'Constructors Standings'!AC5</f>
        <v>Red Bull Racing</v>
      </c>
      <c r="G7" s="45">
        <f>'Constructors Standings'!AD5</f>
        <v>177</v>
      </c>
    </row>
    <row r="8" spans="2:7" ht="22.2" x14ac:dyDescent="0.35">
      <c r="B8" s="45">
        <v>5</v>
      </c>
      <c r="C8" s="45" t="str">
        <f>'Drivers'' Standings'!AE6</f>
        <v>NOR</v>
      </c>
      <c r="D8" s="45">
        <f>'Drivers'' Standings'!AF6</f>
        <v>128</v>
      </c>
      <c r="E8" s="45">
        <v>5</v>
      </c>
      <c r="F8" s="45" t="str">
        <f>'Constructors Standings'!AC6</f>
        <v>Racing Bulls</v>
      </c>
      <c r="G8" s="45">
        <f>'Constructors Standings'!AD6</f>
        <v>66</v>
      </c>
    </row>
    <row r="11" spans="2:7" ht="22.2" customHeight="1" x14ac:dyDescent="0.3">
      <c r="G11" s="46"/>
    </row>
  </sheetData>
  <mergeCells count="1">
    <mergeCell ref="B2:G2"/>
  </mergeCells>
  <pageMargins left="0.7" right="0.7" top="0.75" bottom="0.75" header="0.3" footer="0.3"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27B2D-4759-4A22-A6F3-61E695A8BE47}">
  <sheetPr>
    <tabColor rgb="FF7030A0"/>
  </sheetPr>
  <dimension ref="A1:AH24"/>
  <sheetViews>
    <sheetView tabSelected="1" topLeftCell="O1" zoomScale="60" zoomScaleNormal="60" workbookViewId="0">
      <selection activeCell="O6" sqref="O6"/>
    </sheetView>
  </sheetViews>
  <sheetFormatPr defaultRowHeight="14.4" x14ac:dyDescent="0.3"/>
  <cols>
    <col min="1" max="1" width="21.6640625" customWidth="1"/>
    <col min="2" max="2" width="19.88671875" customWidth="1"/>
    <col min="3" max="28" width="20.77734375" customWidth="1"/>
    <col min="30" max="32" width="15.77734375" customWidth="1"/>
    <col min="34" max="34" width="26.6640625" customWidth="1"/>
  </cols>
  <sheetData>
    <row r="1" spans="1:34" ht="24.6" x14ac:dyDescent="0.4">
      <c r="A1" s="6"/>
      <c r="B1" s="6"/>
      <c r="C1" s="2" t="s">
        <v>16</v>
      </c>
      <c r="D1" s="41" t="s">
        <v>17</v>
      </c>
      <c r="E1" s="2" t="s">
        <v>18</v>
      </c>
      <c r="F1" s="48" t="s">
        <v>19</v>
      </c>
      <c r="G1" s="48" t="s">
        <v>20</v>
      </c>
      <c r="H1" s="41" t="s">
        <v>21</v>
      </c>
      <c r="I1" s="41" t="s">
        <v>22</v>
      </c>
      <c r="J1" s="2" t="s">
        <v>23</v>
      </c>
      <c r="K1" s="2" t="s">
        <v>24</v>
      </c>
      <c r="L1" s="2" t="s">
        <v>25</v>
      </c>
      <c r="M1" s="41" t="s">
        <v>26</v>
      </c>
      <c r="N1" s="2" t="s">
        <v>27</v>
      </c>
      <c r="O1" s="2" t="s">
        <v>28</v>
      </c>
      <c r="P1" s="41" t="s">
        <v>29</v>
      </c>
      <c r="Q1" s="2" t="s">
        <v>30</v>
      </c>
      <c r="R1" s="2" t="s">
        <v>31</v>
      </c>
      <c r="S1" s="2" t="s">
        <v>32</v>
      </c>
      <c r="T1" s="41" t="s">
        <v>33</v>
      </c>
      <c r="U1" s="2" t="s">
        <v>34</v>
      </c>
      <c r="V1" s="2" t="s">
        <v>35</v>
      </c>
      <c r="W1" s="2" t="s">
        <v>36</v>
      </c>
      <c r="X1" s="2" t="s">
        <v>37</v>
      </c>
      <c r="Y1" s="2" t="s">
        <v>38</v>
      </c>
      <c r="Z1" s="2" t="s">
        <v>39</v>
      </c>
      <c r="AA1" s="7" t="s">
        <v>0</v>
      </c>
      <c r="AB1" s="7" t="s">
        <v>63</v>
      </c>
      <c r="AD1" s="4" t="s">
        <v>66</v>
      </c>
      <c r="AE1" s="4" t="s">
        <v>67</v>
      </c>
      <c r="AF1" s="4" t="s">
        <v>63</v>
      </c>
      <c r="AH1" s="43" t="s">
        <v>69</v>
      </c>
    </row>
    <row r="2" spans="1:34" ht="24.6" x14ac:dyDescent="0.4">
      <c r="A2" s="12" t="s">
        <v>64</v>
      </c>
      <c r="B2" s="12" t="s">
        <v>43</v>
      </c>
      <c r="C2" s="4">
        <f>IFERROR(VLOOKUP(MATCH($B2,INDEX('Race Resuts'!$A$2:$W$23,0,MATCH(C$1,'Race Resuts'!$A$1:$W$1,0)),0),'Points Refrence'!$A$2:$B$11,2,FALSE),0)</f>
        <v>18</v>
      </c>
      <c r="D2" s="42">
        <f>IFERROR(_xlfn.XLOOKUP(MATCH($B2,INDEX('Race Resuts'!$B$2:$W$23,0,MATCH(D$1,'Race Resuts'!$B$1:$W$1,0)),0),'Points Refrence'!$A$2:$A$11,'Points Refrence'!$B$2:$B$11,0),0)+IFERROR(_xlfn.XLOOKUP(MATCH($B2,INDEX('Sprint Race Results'!$B$2:$G$23,0,MATCH(D$1,'Sprint Race Results'!$B$1:$G$1,0)),0),'Points Refrence'!$D$2:$D$9,'Points Refrence'!$E$2:$E$9,0),0)</f>
        <v>29</v>
      </c>
      <c r="E2" s="4">
        <f>IFERROR(VLOOKUP(MATCH($B2,INDEX('Race Resuts'!$A$2:$W$23,0,MATCH(E$1,'Race Resuts'!$A$1:$W$1,0)),0),'Points Refrence'!$A$2:$B$11,2,FALSE),0)</f>
        <v>25</v>
      </c>
      <c r="F2" s="47">
        <f>IFERROR(VLOOKUP(MATCH($B2,INDEX('Race Resuts'!$A$2:$W$23,0,MATCH(F$1,'Race Resuts'!$A$1:$W$1,0)),0),'Points Refrence'!$A$2:$B$11,2,FALSE),0)</f>
        <v>0</v>
      </c>
      <c r="G2" s="47">
        <f>IFERROR(VLOOKUP(MATCH($B2,INDEX('Race Resuts'!$A$2:$W$23,0,MATCH(G$1,'Race Resuts'!$A$1:$W$1,0)),0),'Points Refrence'!$A$2:$B$11,2,FALSE),0)</f>
        <v>0</v>
      </c>
      <c r="H2" s="42">
        <f>IFERROR(VLOOKUP(MATCH($B2,INDEX('Race Resuts'!$B$2:$W$23,0,MATCH(H$1,'Race Resuts'!$B$1:$W$1,0)),0),'Points Refrence'!$A$2:$B$11,2,FALSE),0)+IFERROR(VLOOKUP(MATCH($B2,INDEX('Sprint Race Results'!$B$2:$G$23,0,MATCH(H$1,'Sprint Race Results'!$B$1:$G$1,0)),0),'Points Refrence'!$D$2:$E$9,2,FALSE),0)</f>
        <v>28</v>
      </c>
      <c r="I2" s="42">
        <f>IFERROR(VLOOKUP(MATCH($B2,INDEX('Race Resuts'!$B$2:$W$23,0,MATCH(I$1,'Race Resuts'!$B$1:$W$1,0)),0),'Points Refrence'!$A$2:$B$11,2,FALSE),0)+IFERROR(VLOOKUP(MATCH($B2,INDEX('Sprint Race Results'!$B$2:$G$23,0,MATCH(I$1,'Sprint Race Results'!$B$1:$G$1,0)),0),'Points Refrence'!$D$2:$E$9,2,FALSE),0)</f>
        <v>31</v>
      </c>
      <c r="J2" s="4">
        <f>IFERROR(VLOOKUP(MATCH($B2,INDEX('Race Resuts'!$A$2:$W$23,0,MATCH(J$1,'Race Resuts'!$A$1:$W$1,0)),0),'Points Refrence'!$A$2:$B$11,2,FALSE),0)</f>
        <v>25</v>
      </c>
      <c r="K2" s="4">
        <f>IFERROR(VLOOKUP(MATCH($B2,INDEX('Race Resuts'!$A$2:$W$23,0,MATCH(K$1,'Race Resuts'!$A$1:$W$1,0)),0),'Points Refrence'!$A$2:$B$11,2,FALSE),0)</f>
        <v>0</v>
      </c>
      <c r="L2" s="4">
        <f>IFERROR(VLOOKUP(MATCH($B2,INDEX('Race Resuts'!$A$2:$W$23,0,MATCH(L$1,'Race Resuts'!$A$1:$W$1,0)),0),'Points Refrence'!$A$2:$B$11,2,FALSE),0)</f>
        <v>15</v>
      </c>
      <c r="M2" s="42">
        <f>IFERROR(VLOOKUP(MATCH($B2,INDEX('Race Resuts'!$B$2:$W$23,0,MATCH(M$1,'Race Resuts'!$B$1:$W$1,0)),0),'Points Refrence'!$A$2:$B$11,2,FALSE),0)+IFERROR(VLOOKUP(MATCH($B2,INDEX('Sprint Race Results'!$B$2:$G$23,0,MATCH(M$1,'Sprint Race Results'!$B$1:$G$1,0)),0),'Points Refrence'!$D$2:$E$9,2,FALSE),0)</f>
        <v>8</v>
      </c>
      <c r="N2" s="4">
        <f>IFERROR(VLOOKUP(MATCH($B2,INDEX('Race Resuts'!$A$2:$W$23,0,MATCH(N$1,'Race Resuts'!$A$1:$W$1,0)),0),'Points Refrence'!$A$2:$B$11,2,FALSE),0)</f>
        <v>25</v>
      </c>
      <c r="O2" s="4">
        <f>IFERROR(VLOOKUP(MATCH($B2,INDEX('Race Resuts'!$A$2:$W$23,0,MATCH(O$1,'Race Resuts'!$A$1:$W$1,0)),0),'Points Refrence'!$A$2:$B$11,2,FALSE),0)</f>
        <v>15</v>
      </c>
      <c r="P2" s="42">
        <f>IFERROR(VLOOKUP(MATCH($B2,INDEX('Race Resuts'!$B$2:$W$23,0,MATCH(P$1,'Race Resuts'!$B$1:$W$1,0)),0),'Points Refrence'!$A$2:$B$11,2,FALSE),0)+IFERROR(VLOOKUP(MATCH($B2,INDEX('Sprint Race Results'!$B$2:$G$23,0,MATCH(P$1,'Sprint Race Results'!$B$1:$G$1,0)),0),'Points Refrence'!$D$2:$E$9,2,FALSE),0)</f>
        <v>0</v>
      </c>
      <c r="Q2" s="4">
        <f>IFERROR(VLOOKUP(MATCH($B2,INDEX('Race Resuts'!$A$2:$W$23,0,MATCH(Q$1,'Race Resuts'!$A$1:$W$1,0)),0),'Points Refrence'!$A$2:$B$11,2,FALSE),0)</f>
        <v>0</v>
      </c>
      <c r="R2" s="4">
        <f>IFERROR(VLOOKUP(MATCH($B2,INDEX('Race Resuts'!$A$2:$W$23,0,MATCH(R$1,'Race Resuts'!$A$1:$W$1,0)),0),'Points Refrence'!$A$2:$B$11,2,FALSE),0)</f>
        <v>0</v>
      </c>
      <c r="S2" s="4">
        <f>IFERROR(VLOOKUP(MATCH($B2,INDEX('Race Resuts'!$A$2:$W$23,0,MATCH(S$1,'Race Resuts'!$A$1:$W$1,0)),0),'Points Refrence'!$A$2:$B$11,2,FALSE),0)</f>
        <v>0</v>
      </c>
      <c r="T2" s="42">
        <f>IFERROR(VLOOKUP(MATCH($B2,INDEX('Race Resuts'!$B$2:$W$23,0,MATCH(T$1,'Race Resuts'!$B$1:$W$1,0)),0),'Points Refrence'!$A$2:$B$11,2,FALSE),0)+IFERROR(VLOOKUP(MATCH($B2,INDEX('Sprint Race Results'!$B$2:$G$23,0,MATCH(T$1,'Sprint Race Results'!$B$1:$G$1,0)),0),'Points Refrence'!$D$2:$E$9,2,FALSE),0)</f>
        <v>0</v>
      </c>
      <c r="U2" s="4">
        <f>IFERROR(VLOOKUP(MATCH($B2,INDEX('Race Resuts'!$A$2:$W$23,0,MATCH(U$1,'Race Resuts'!$A$1:$W$1,0)),0),'Points Refrence'!$A$2:$B$11,2,FALSE),0)</f>
        <v>0</v>
      </c>
      <c r="V2" s="4">
        <f>IFERROR(VLOOKUP(MATCH($B2,INDEX('Race Resuts'!$A$2:$W$23,0,MATCH(V$1,'Race Resuts'!$A$1:$W$1,0)),0),'Points Refrence'!$A$2:$B$11,2,FALSE),0)</f>
        <v>0</v>
      </c>
      <c r="W2" s="4">
        <f>IFERROR(VLOOKUP(MATCH($B2,INDEX('Race Resuts'!$A$2:$W$23,0,MATCH(W$1,'Race Resuts'!$A$1:$W$1,0)),0),'Points Refrence'!$A$2:$B$11,2,FALSE),0)</f>
        <v>0</v>
      </c>
      <c r="X2" s="4">
        <f>IFERROR(VLOOKUP(MATCH($B2,INDEX('Race Resuts'!$A$2:$W$23,0,MATCH(X$1,'Race Resuts'!$A$1:$W$1,0)),0),'Points Refrence'!$A$2:$B$11,2,FALSE),0)</f>
        <v>0</v>
      </c>
      <c r="Y2" s="4">
        <f>IFERROR(VLOOKUP(MATCH($B2,INDEX('Race Resuts'!$A$2:$W$23,0,MATCH(Y$1,'Race Resuts'!$A$1:$W$1,0)),0),'Points Refrence'!$A$2:$B$11,2,FALSE),0)</f>
        <v>0</v>
      </c>
      <c r="Z2" s="4">
        <f>IFERROR(VLOOKUP(MATCH($B2,INDEX('Race Resuts'!$A$2:$W$23,0,MATCH(Z$1,'Race Resuts'!$A$1:$W$1,0)),0),'Points Refrence'!$A$2:$B$11,2,FALSE),0)</f>
        <v>0</v>
      </c>
      <c r="AA2" s="7">
        <f>RANK(AB2,$AB$2:$AB$23,0)+COUNTIF($AB$2:AB2,AB2)-1</f>
        <v>1</v>
      </c>
      <c r="AB2" s="7">
        <f>SUM(C2:Z2)</f>
        <v>219</v>
      </c>
      <c r="AD2" s="4">
        <f>ROW()-1</f>
        <v>1</v>
      </c>
      <c r="AE2" s="4" t="str">
        <f>INDEX($B$2:$B$23,MATCH(AD2,$AA$2:$AA$23,0))</f>
        <v>ANT</v>
      </c>
      <c r="AF2" s="4">
        <f>INDEX($AB$2:$AB$23,MATCH(AD2,$AA$2:$AA$23,0))</f>
        <v>219</v>
      </c>
      <c r="AH2" s="43" t="str">
        <f>AE$2</f>
        <v>ANT</v>
      </c>
    </row>
    <row r="3" spans="1:34" ht="21.6" x14ac:dyDescent="0.4">
      <c r="A3" s="12" t="s">
        <v>73</v>
      </c>
      <c r="B3" s="12" t="s">
        <v>42</v>
      </c>
      <c r="C3" s="4">
        <f>IFERROR(VLOOKUP(MATCH($B3,INDEX('Race Resuts'!$A$2:$W$23,0,MATCH(C$1,'Race Resuts'!$A$1:$W$1,0)),0),'Points Refrence'!$A$2:$B$11,2,FALSE),0)</f>
        <v>25</v>
      </c>
      <c r="D3" s="42">
        <f>IFERROR(_xlfn.XLOOKUP(MATCH($B3,INDEX('Race Resuts'!$B$2:$W$23,0,MATCH(D$1,'Race Resuts'!$B$1:$W$1,0)),0),'Points Refrence'!$A$2:$A$11,'Points Refrence'!$B$2:$B$11,0),0)+IFERROR(_xlfn.XLOOKUP(MATCH($B3,INDEX('Sprint Race Results'!$B$2:$G$23,0,MATCH(D$1,'Sprint Race Results'!$B$1:$G$1,0)),0),'Points Refrence'!$D$2:$D$9,'Points Refrence'!$E$2:$E$9,0),0)</f>
        <v>26</v>
      </c>
      <c r="E3" s="4">
        <f>IFERROR(VLOOKUP(MATCH($B3,INDEX('Race Resuts'!$A$2:$W$23,0,MATCH(E$1,'Race Resuts'!$A$1:$W$1,0)),0),'Points Refrence'!$A$2:$B$11,2,FALSE),0)</f>
        <v>12</v>
      </c>
      <c r="F3" s="47">
        <f>IFERROR(VLOOKUP(MATCH($B3,INDEX('Race Resuts'!$A$2:$W$23,0,MATCH(F$1,'Race Resuts'!$A$1:$W$1,0)),0),'Points Refrence'!$A$2:$B$11,2,FALSE),0)</f>
        <v>0</v>
      </c>
      <c r="G3" s="47">
        <f>IFERROR(VLOOKUP(MATCH($B3,INDEX('Race Resuts'!$A$2:$W$23,0,MATCH(G$1,'Race Resuts'!$A$1:$W$1,0)),0),'Points Refrence'!$A$2:$B$11,2,FALSE),0)</f>
        <v>0</v>
      </c>
      <c r="H3" s="42">
        <f>IFERROR(VLOOKUP(MATCH($B3,INDEX('Race Resuts'!$B$2:$W$23,0,MATCH(H$1,'Race Resuts'!$B$1:$W$1,0)),0),'Points Refrence'!$A$2:$B$11,2,FALSE),0)+IFERROR(VLOOKUP(MATCH($B3,INDEX('Sprint Race Results'!$B$2:$G$23,0,MATCH(H$1,'Sprint Race Results'!$B$1:$G$1,0)),0),'Points Refrence'!$D$2:$E$9,2,FALSE),0)</f>
        <v>17</v>
      </c>
      <c r="I3" s="42">
        <f>IFERROR(VLOOKUP(MATCH($B3,INDEX('Race Resuts'!$B$2:$W$23,0,MATCH(I$1,'Race Resuts'!$B$1:$W$1,0)),0),'Points Refrence'!$A$2:$B$11,2,FALSE),0)+IFERROR(VLOOKUP(MATCH($B3,INDEX('Sprint Race Results'!$B$2:$G$23,0,MATCH(I$1,'Sprint Race Results'!$B$1:$G$1,0)),0),'Points Refrence'!$D$2:$E$9,2,FALSE),0)</f>
        <v>8</v>
      </c>
      <c r="J3" s="4">
        <f>IFERROR(VLOOKUP(MATCH($B3,INDEX('Race Resuts'!$A$2:$W$23,0,MATCH(J$1,'Race Resuts'!$A$1:$W$1,0)),0),'Points Refrence'!$A$2:$B$11,2,FALSE),0)</f>
        <v>0</v>
      </c>
      <c r="K3" s="4">
        <f>IFERROR(VLOOKUP(MATCH($B3,INDEX('Race Resuts'!$A$2:$W$23,0,MATCH(K$1,'Race Resuts'!$A$1:$W$1,0)),0),'Points Refrence'!$A$2:$B$11,2,FALSE),0)</f>
        <v>18</v>
      </c>
      <c r="L3" s="4">
        <f>IFERROR(VLOOKUP(MATCH($B3,INDEX('Race Resuts'!$A$2:$W$23,0,MATCH(L$1,'Race Resuts'!$A$1:$W$1,0)),0),'Points Refrence'!$A$2:$B$11,2,FALSE),0)</f>
        <v>25</v>
      </c>
      <c r="M3" s="42">
        <f>IFERROR(VLOOKUP(MATCH($B3,INDEX('Race Resuts'!$B$2:$W$23,0,MATCH(M$1,'Race Resuts'!$B$1:$W$1,0)),0),'Points Refrence'!$A$2:$B$11,2,FALSE),0)+IFERROR(VLOOKUP(MATCH($B3,INDEX('Sprint Race Results'!$B$2:$G$23,0,MATCH(M$1,'Sprint Race Results'!$B$1:$G$1,0)),0),'Points Refrence'!$D$2:$E$9,2,FALSE),0)</f>
        <v>23</v>
      </c>
      <c r="N3" s="4">
        <f>IFERROR(VLOOKUP(MATCH($B3,INDEX('Race Resuts'!$A$2:$W$23,0,MATCH(N$1,'Race Resuts'!$A$1:$W$1,0)),0),'Points Refrence'!$A$2:$B$11,2,FALSE),0)</f>
        <v>0</v>
      </c>
      <c r="O3" s="4">
        <f>IFERROR(VLOOKUP(MATCH($B3,INDEX('Race Resuts'!$A$2:$W$23,0,MATCH(O$1,'Race Resuts'!$A$1:$W$1,0)),0),'Points Refrence'!$A$2:$B$11,2,FALSE),0)</f>
        <v>6</v>
      </c>
      <c r="P3" s="42">
        <f>IFERROR(VLOOKUP(MATCH($B3,INDEX('Race Resuts'!$B$2:$W$23,0,MATCH(P$1,'Race Resuts'!$B$1:$W$1,0)),0),'Points Refrence'!$A$2:$B$11,2,FALSE),0)+IFERROR(VLOOKUP(MATCH($B3,INDEX('Sprint Race Results'!$B$2:$G$23,0,MATCH(P$1,'Sprint Race Results'!$B$1:$G$1,0)),0),'Points Refrence'!$D$2:$E$9,2,FALSE),0)</f>
        <v>0</v>
      </c>
      <c r="Q3" s="4">
        <f>IFERROR(VLOOKUP(MATCH($B3,INDEX('Race Resuts'!$A$2:$W$23,0,MATCH(Q$1,'Race Resuts'!$A$1:$W$1,0)),0),'Points Refrence'!$A$2:$B$11,2,FALSE),0)</f>
        <v>0</v>
      </c>
      <c r="R3" s="4">
        <f>IFERROR(VLOOKUP(MATCH($B3,INDEX('Race Resuts'!$A$2:$W$23,0,MATCH(R$1,'Race Resuts'!$A$1:$W$1,0)),0),'Points Refrence'!$A$2:$B$11,2,FALSE),0)</f>
        <v>0</v>
      </c>
      <c r="S3" s="4">
        <f>IFERROR(VLOOKUP(MATCH($B3,INDEX('Race Resuts'!$A$2:$W$23,0,MATCH(S$1,'Race Resuts'!$A$1:$W$1,0)),0),'Points Refrence'!$A$2:$B$11,2,FALSE),0)</f>
        <v>0</v>
      </c>
      <c r="T3" s="42">
        <f>IFERROR(VLOOKUP(MATCH($B3,INDEX('Race Resuts'!$B$2:$W$23,0,MATCH(T$1,'Race Resuts'!$B$1:$W$1,0)),0),'Points Refrence'!$A$2:$B$11,2,FALSE),0)+IFERROR(VLOOKUP(MATCH($B3,INDEX('Sprint Race Results'!$B$2:$G$23,0,MATCH(T$1,'Sprint Race Results'!$B$1:$G$1,0)),0),'Points Refrence'!$D$2:$E$9,2,FALSE),0)</f>
        <v>0</v>
      </c>
      <c r="U3" s="4">
        <f>IFERROR(VLOOKUP(MATCH($B3,INDEX('Race Resuts'!$A$2:$W$23,0,MATCH(U$1,'Race Resuts'!$A$1:$W$1,0)),0),'Points Refrence'!$A$2:$B$11,2,FALSE),0)</f>
        <v>0</v>
      </c>
      <c r="V3" s="4">
        <f>IFERROR(VLOOKUP(MATCH($B3,INDEX('Race Resuts'!$A$2:$W$23,0,MATCH(V$1,'Race Resuts'!$A$1:$W$1,0)),0),'Points Refrence'!$A$2:$B$11,2,FALSE),0)</f>
        <v>0</v>
      </c>
      <c r="W3" s="4">
        <f>IFERROR(VLOOKUP(MATCH($B3,INDEX('Race Resuts'!$A$2:$W$23,0,MATCH(W$1,'Race Resuts'!$A$1:$W$1,0)),0),'Points Refrence'!$A$2:$B$11,2,FALSE),0)</f>
        <v>0</v>
      </c>
      <c r="X3" s="4">
        <f>IFERROR(VLOOKUP(MATCH($B3,INDEX('Race Resuts'!$A$2:$W$23,0,MATCH(X$1,'Race Resuts'!$A$1:$W$1,0)),0),'Points Refrence'!$A$2:$B$11,2,FALSE),0)</f>
        <v>0</v>
      </c>
      <c r="Y3" s="4">
        <f>IFERROR(VLOOKUP(MATCH($B3,INDEX('Race Resuts'!$A$2:$W$23,0,MATCH(Y$1,'Race Resuts'!$A$1:$W$1,0)),0),'Points Refrence'!$A$2:$B$11,2,FALSE),0)</f>
        <v>0</v>
      </c>
      <c r="Z3" s="4">
        <f>IFERROR(VLOOKUP(MATCH($B3,INDEX('Race Resuts'!$A$2:$W$23,0,MATCH(Z$1,'Race Resuts'!$A$1:$W$1,0)),0),'Points Refrence'!$A$2:$B$11,2,FALSE),0)</f>
        <v>0</v>
      </c>
      <c r="AA3" s="7">
        <f>RANK(AB3,$AB$2:$AB$23,0)+COUNTIF($AB$2:AB3,AB3)-1</f>
        <v>3</v>
      </c>
      <c r="AB3" s="7">
        <f t="shared" ref="AB3:AB23" si="0">SUM(C3:Z3)</f>
        <v>160</v>
      </c>
      <c r="AD3" s="4">
        <f t="shared" ref="AD3:AD23" si="1">ROW()-1</f>
        <v>2</v>
      </c>
      <c r="AE3" s="4" t="str">
        <f t="shared" ref="AE3:AE23" si="2">INDEX($B$2:$B$23,MATCH(AD3,$AA$2:$AA$23,0))</f>
        <v>HAM</v>
      </c>
      <c r="AF3" s="4">
        <f t="shared" ref="AF3:AF23" si="3">INDEX($AB$2:$AB$23,MATCH(AD3,$AA$2:$AA$23,0))</f>
        <v>169</v>
      </c>
    </row>
    <row r="4" spans="1:34" ht="21.6" x14ac:dyDescent="0.4">
      <c r="A4" s="9" t="s">
        <v>74</v>
      </c>
      <c r="B4" s="9" t="s">
        <v>44</v>
      </c>
      <c r="C4" s="4">
        <f>IFERROR(VLOOKUP(MATCH($B4,INDEX('Race Resuts'!$A$2:$W$23,0,MATCH(C$1,'Race Resuts'!$A$1:$W$1,0)),0),'Points Refrence'!$A$2:$B$11,2,FALSE),0)</f>
        <v>12</v>
      </c>
      <c r="D4" s="42">
        <f>IFERROR(_xlfn.XLOOKUP(MATCH($B4,INDEX('Race Resuts'!$B$2:$W$23,0,MATCH(D$1,'Race Resuts'!$B$1:$W$1,0)),0),'Points Refrence'!$A$2:$A$11,'Points Refrence'!$B$2:$B$11,0),0)+IFERROR(_xlfn.XLOOKUP(MATCH($B4,INDEX('Sprint Race Results'!$B$2:$G$23,0,MATCH(D$1,'Sprint Race Results'!$B$1:$G$1,0)),0),'Points Refrence'!$D$2:$D$9,'Points Refrence'!$E$2:$E$9,0),0)</f>
        <v>21</v>
      </c>
      <c r="E4" s="4">
        <f>IFERROR(VLOOKUP(MATCH($B4,INDEX('Race Resuts'!$A$2:$W$23,0,MATCH(E$1,'Race Resuts'!$A$1:$W$1,0)),0),'Points Refrence'!$A$2:$B$11,2,FALSE),0)</f>
        <v>8</v>
      </c>
      <c r="F4" s="47">
        <f>IFERROR(VLOOKUP(MATCH($B4,INDEX('Race Resuts'!$A$2:$W$23,0,MATCH(F$1,'Race Resuts'!$A$1:$W$1,0)),0),'Points Refrence'!$A$2:$B$11,2,FALSE),0)</f>
        <v>0</v>
      </c>
      <c r="G4" s="47">
        <f>IFERROR(VLOOKUP(MATCH($B4,INDEX('Race Resuts'!$A$2:$W$23,0,MATCH(G$1,'Race Resuts'!$A$1:$W$1,0)),0),'Points Refrence'!$A$2:$B$11,2,FALSE),0)</f>
        <v>0</v>
      </c>
      <c r="H4" s="42">
        <f>IFERROR(VLOOKUP(MATCH($B4,INDEX('Race Resuts'!$B$2:$W$23,0,MATCH(H$1,'Race Resuts'!$B$1:$W$1,0)),0),'Points Refrence'!$A$2:$B$11,2,FALSE),0)+IFERROR(VLOOKUP(MATCH($B4,INDEX('Sprint Race Results'!$B$2:$G$23,0,MATCH(H$1,'Sprint Race Results'!$B$1:$G$1,0)),0),'Points Refrence'!$D$2:$E$9,2,FALSE),0)</f>
        <v>10</v>
      </c>
      <c r="I4" s="42">
        <f>IFERROR(VLOOKUP(MATCH($B4,INDEX('Race Resuts'!$B$2:$W$23,0,MATCH(I$1,'Race Resuts'!$B$1:$W$1,0)),0),'Points Refrence'!$A$2:$B$11,2,FALSE),0)+IFERROR(VLOOKUP(MATCH($B4,INDEX('Sprint Race Results'!$B$2:$G$23,0,MATCH(I$1,'Sprint Race Results'!$B$1:$G$1,0)),0),'Points Refrence'!$D$2:$E$9,2,FALSE),0)</f>
        <v>21</v>
      </c>
      <c r="J4" s="4">
        <f>IFERROR(VLOOKUP(MATCH($B4,INDEX('Race Resuts'!$A$2:$W$23,0,MATCH(J$1,'Race Resuts'!$A$1:$W$1,0)),0),'Points Refrence'!$A$2:$B$11,2,FALSE),0)</f>
        <v>18</v>
      </c>
      <c r="K4" s="4">
        <f>IFERROR(VLOOKUP(MATCH($B4,INDEX('Race Resuts'!$A$2:$W$23,0,MATCH(K$1,'Race Resuts'!$A$1:$W$1,0)),0),'Points Refrence'!$A$2:$B$11,2,FALSE),0)</f>
        <v>25</v>
      </c>
      <c r="L4" s="4">
        <f>IFERROR(VLOOKUP(MATCH($B4,INDEX('Race Resuts'!$A$2:$W$23,0,MATCH(L$1,'Race Resuts'!$A$1:$W$1,0)),0),'Points Refrence'!$A$2:$B$11,2,FALSE),0)</f>
        <v>10</v>
      </c>
      <c r="M4" s="42">
        <f>IFERROR(VLOOKUP(MATCH($B4,INDEX('Race Resuts'!$B$2:$W$23,0,MATCH(M$1,'Race Resuts'!$B$1:$W$1,0)),0),'Points Refrence'!$A$2:$B$11,2,FALSE),0)+IFERROR(VLOOKUP(MATCH($B4,INDEX('Sprint Race Results'!$B$2:$G$23,0,MATCH(M$1,'Sprint Race Results'!$B$1:$G$1,0)),0),'Points Refrence'!$D$2:$E$9,2,FALSE),0)</f>
        <v>22</v>
      </c>
      <c r="N4" s="4">
        <f>IFERROR(VLOOKUP(MATCH($B4,INDEX('Race Resuts'!$A$2:$W$23,0,MATCH(N$1,'Race Resuts'!$A$1:$W$1,0)),0),'Points Refrence'!$A$2:$B$11,2,FALSE),0)</f>
        <v>12</v>
      </c>
      <c r="O4" s="4">
        <f>IFERROR(VLOOKUP(MATCH($B4,INDEX('Race Resuts'!$A$2:$W$23,0,MATCH(O$1,'Race Resuts'!$A$1:$W$1,0)),0),'Points Refrence'!$A$2:$B$11,2,FALSE),0)</f>
        <v>10</v>
      </c>
      <c r="P4" s="42">
        <f>IFERROR(VLOOKUP(MATCH($B4,INDEX('Race Resuts'!$B$2:$W$23,0,MATCH(P$1,'Race Resuts'!$B$1:$W$1,0)),0),'Points Refrence'!$A$2:$B$11,2,FALSE),0)+IFERROR(VLOOKUP(MATCH($B4,INDEX('Sprint Race Results'!$B$2:$G$23,0,MATCH(P$1,'Sprint Race Results'!$B$1:$G$1,0)),0),'Points Refrence'!$D$2:$E$9,2,FALSE),0)</f>
        <v>0</v>
      </c>
      <c r="Q4" s="4">
        <f>IFERROR(VLOOKUP(MATCH($B4,INDEX('Race Resuts'!$A$2:$W$23,0,MATCH(Q$1,'Race Resuts'!$A$1:$W$1,0)),0),'Points Refrence'!$A$2:$B$11,2,FALSE),0)</f>
        <v>0</v>
      </c>
      <c r="R4" s="4">
        <f>IFERROR(VLOOKUP(MATCH($B4,INDEX('Race Resuts'!$A$2:$W$23,0,MATCH(R$1,'Race Resuts'!$A$1:$W$1,0)),0),'Points Refrence'!$A$2:$B$11,2,FALSE),0)</f>
        <v>0</v>
      </c>
      <c r="S4" s="4">
        <f>IFERROR(VLOOKUP(MATCH($B4,INDEX('Race Resuts'!$A$2:$W$23,0,MATCH(S$1,'Race Resuts'!$A$1:$W$1,0)),0),'Points Refrence'!$A$2:$B$11,2,FALSE),0)</f>
        <v>0</v>
      </c>
      <c r="T4" s="42">
        <f>IFERROR(VLOOKUP(MATCH($B4,INDEX('Race Resuts'!$B$2:$W$23,0,MATCH(T$1,'Race Resuts'!$B$1:$W$1,0)),0),'Points Refrence'!$A$2:$B$11,2,FALSE),0)+IFERROR(VLOOKUP(MATCH($B4,INDEX('Sprint Race Results'!$B$2:$G$23,0,MATCH(T$1,'Sprint Race Results'!$B$1:$G$1,0)),0),'Points Refrence'!$D$2:$E$9,2,FALSE),0)</f>
        <v>0</v>
      </c>
      <c r="U4" s="4">
        <f>IFERROR(VLOOKUP(MATCH($B4,INDEX('Race Resuts'!$A$2:$W$23,0,MATCH(U$1,'Race Resuts'!$A$1:$W$1,0)),0),'Points Refrence'!$A$2:$B$11,2,FALSE),0)</f>
        <v>0</v>
      </c>
      <c r="V4" s="4">
        <f>IFERROR(VLOOKUP(MATCH($B4,INDEX('Race Resuts'!$A$2:$W$23,0,MATCH(V$1,'Race Resuts'!$A$1:$W$1,0)),0),'Points Refrence'!$A$2:$B$11,2,FALSE),0)</f>
        <v>0</v>
      </c>
      <c r="W4" s="4">
        <f>IFERROR(VLOOKUP(MATCH($B4,INDEX('Race Resuts'!$A$2:$W$23,0,MATCH(W$1,'Race Resuts'!$A$1:$W$1,0)),0),'Points Refrence'!$A$2:$B$11,2,FALSE),0)</f>
        <v>0</v>
      </c>
      <c r="X4" s="4">
        <f>IFERROR(VLOOKUP(MATCH($B4,INDEX('Race Resuts'!$A$2:$W$23,0,MATCH(X$1,'Race Resuts'!$A$1:$W$1,0)),0),'Points Refrence'!$A$2:$B$11,2,FALSE),0)</f>
        <v>0</v>
      </c>
      <c r="Y4" s="4">
        <f>IFERROR(VLOOKUP(MATCH($B4,INDEX('Race Resuts'!$A$2:$W$23,0,MATCH(Y$1,'Race Resuts'!$A$1:$W$1,0)),0),'Points Refrence'!$A$2:$B$11,2,FALSE),0)</f>
        <v>0</v>
      </c>
      <c r="Z4" s="4">
        <f>IFERROR(VLOOKUP(MATCH($B4,INDEX('Race Resuts'!$A$2:$W$23,0,MATCH(Z$1,'Race Resuts'!$A$1:$W$1,0)),0),'Points Refrence'!$A$2:$B$11,2,FALSE),0)</f>
        <v>0</v>
      </c>
      <c r="AA4" s="7">
        <f>RANK(AB4,$AB$2:$AB$23,0)+COUNTIF($AB$2:AB4,AB4)-1</f>
        <v>2</v>
      </c>
      <c r="AB4" s="7">
        <f t="shared" si="0"/>
        <v>169</v>
      </c>
      <c r="AD4" s="4">
        <f t="shared" si="1"/>
        <v>3</v>
      </c>
      <c r="AE4" s="4" t="str">
        <f t="shared" si="2"/>
        <v>RUS</v>
      </c>
      <c r="AF4" s="4">
        <f t="shared" si="3"/>
        <v>160</v>
      </c>
    </row>
    <row r="5" spans="1:34" ht="21.6" x14ac:dyDescent="0.4">
      <c r="A5" s="9" t="s">
        <v>76</v>
      </c>
      <c r="B5" s="9" t="s">
        <v>41</v>
      </c>
      <c r="C5" s="4">
        <f>IFERROR(VLOOKUP(MATCH($B5,INDEX('Race Resuts'!$A$2:$W$23,0,MATCH(C$1,'Race Resuts'!$A$1:$W$1,0)),0),'Points Refrence'!$A$2:$B$11,2,FALSE),0)</f>
        <v>15</v>
      </c>
      <c r="D5" s="42">
        <f>IFERROR(_xlfn.XLOOKUP(MATCH($B5,INDEX('Race Resuts'!$B$2:$W$23,0,MATCH(D$1,'Race Resuts'!$B$1:$W$1,0)),0),'Points Refrence'!$A$2:$A$11,'Points Refrence'!$B$2:$B$11,0),0)+IFERROR(_xlfn.XLOOKUP(MATCH($B5,INDEX('Sprint Race Results'!$B$2:$G$23,0,MATCH(D$1,'Sprint Race Results'!$B$1:$G$1,0)),0),'Points Refrence'!$D$2:$D$9,'Points Refrence'!$E$2:$E$9,0),0)</f>
        <v>19</v>
      </c>
      <c r="E5" s="4">
        <f>IFERROR(VLOOKUP(MATCH($B5,INDEX('Race Resuts'!$A$2:$W$23,0,MATCH(E$1,'Race Resuts'!$A$1:$W$1,0)),0),'Points Refrence'!$A$2:$B$11,2,FALSE),0)</f>
        <v>15</v>
      </c>
      <c r="F5" s="47">
        <f>IFERROR(VLOOKUP(MATCH($B5,INDEX('Race Resuts'!$A$2:$W$23,0,MATCH(F$1,'Race Resuts'!$A$1:$W$1,0)),0),'Points Refrence'!$A$2:$B$11,2,FALSE),0)</f>
        <v>0</v>
      </c>
      <c r="G5" s="47">
        <f>IFERROR(VLOOKUP(MATCH($B5,INDEX('Race Resuts'!$A$2:$W$23,0,MATCH(G$1,'Race Resuts'!$A$1:$W$1,0)),0),'Points Refrence'!$A$2:$B$11,2,FALSE),0)</f>
        <v>0</v>
      </c>
      <c r="H5" s="42">
        <f>IFERROR(VLOOKUP(MATCH($B5,INDEX('Race Resuts'!$B$2:$W$23,0,MATCH(H$1,'Race Resuts'!$B$1:$W$1,0)),0),'Points Refrence'!$A$2:$B$11,2,FALSE),0)+IFERROR(VLOOKUP(MATCH($B5,INDEX('Sprint Race Results'!$B$2:$G$23,0,MATCH(H$1,'Sprint Race Results'!$B$1:$G$1,0)),0),'Points Refrence'!$D$2:$E$9,2,FALSE),0)</f>
        <v>10</v>
      </c>
      <c r="I5" s="42">
        <f>IFERROR(VLOOKUP(MATCH($B5,INDEX('Race Resuts'!$B$2:$W$23,0,MATCH(I$1,'Race Resuts'!$B$1:$W$1,0)),0),'Points Refrence'!$A$2:$B$11,2,FALSE),0)+IFERROR(VLOOKUP(MATCH($B5,INDEX('Sprint Race Results'!$B$2:$G$23,0,MATCH(I$1,'Sprint Race Results'!$B$1:$G$1,0)),0),'Points Refrence'!$D$2:$E$9,2,FALSE),0)</f>
        <v>16</v>
      </c>
      <c r="J5" s="4">
        <f>IFERROR(VLOOKUP(MATCH($B5,INDEX('Race Resuts'!$A$2:$W$23,0,MATCH(J$1,'Race Resuts'!$A$1:$W$1,0)),0),'Points Refrence'!$A$2:$B$11,2,FALSE),0)</f>
        <v>0</v>
      </c>
      <c r="K5" s="4">
        <f>IFERROR(VLOOKUP(MATCH($B5,INDEX('Race Resuts'!$A$2:$W$23,0,MATCH(K$1,'Race Resuts'!$A$1:$W$1,0)),0),'Points Refrence'!$A$2:$B$11,2,FALSE),0)</f>
        <v>0</v>
      </c>
      <c r="L5" s="4">
        <f>IFERROR(VLOOKUP(MATCH($B5,INDEX('Race Resuts'!$A$2:$W$23,0,MATCH(L$1,'Race Resuts'!$A$1:$W$1,0)),0),'Points Refrence'!$A$2:$B$11,2,FALSE),0)</f>
        <v>4</v>
      </c>
      <c r="M5" s="42">
        <f>IFERROR(VLOOKUP(MATCH($B5,INDEX('Race Resuts'!$B$2:$W$23,0,MATCH(M$1,'Race Resuts'!$B$1:$W$1,0)),0),'Points Refrence'!$A$2:$B$11,2,FALSE),0)+IFERROR(VLOOKUP(MATCH($B5,INDEX('Sprint Race Results'!$B$2:$G$23,0,MATCH(M$1,'Sprint Race Results'!$B$1:$G$1,0)),0),'Points Refrence'!$D$2:$E$9,2,FALSE),0)</f>
        <v>29</v>
      </c>
      <c r="N5" s="4">
        <f>IFERROR(VLOOKUP(MATCH($B5,INDEX('Race Resuts'!$A$2:$W$23,0,MATCH(N$1,'Race Resuts'!$A$1:$W$1,0)),0),'Points Refrence'!$A$2:$B$11,2,FALSE),0)</f>
        <v>18</v>
      </c>
      <c r="O5" s="4">
        <f>IFERROR(VLOOKUP(MATCH($B5,INDEX('Race Resuts'!$A$2:$W$23,0,MATCH(O$1,'Race Resuts'!$A$1:$W$1,0)),0),'Points Refrence'!$A$2:$B$11,2,FALSE),0)</f>
        <v>12</v>
      </c>
      <c r="P5" s="42">
        <f>IFERROR(VLOOKUP(MATCH($B5,INDEX('Race Resuts'!$B$2:$W$23,0,MATCH(P$1,'Race Resuts'!$B$1:$W$1,0)),0),'Points Refrence'!$A$2:$B$11,2,FALSE),0)+IFERROR(VLOOKUP(MATCH($B5,INDEX('Sprint Race Results'!$B$2:$G$23,0,MATCH(P$1,'Sprint Race Results'!$B$1:$G$1,0)),0),'Points Refrence'!$D$2:$E$9,2,FALSE),0)</f>
        <v>0</v>
      </c>
      <c r="Q5" s="4">
        <f>IFERROR(VLOOKUP(MATCH($B5,INDEX('Race Resuts'!$A$2:$W$23,0,MATCH(Q$1,'Race Resuts'!$A$1:$W$1,0)),0),'Points Refrence'!$A$2:$B$11,2,FALSE),0)</f>
        <v>0</v>
      </c>
      <c r="R5" s="4">
        <f>IFERROR(VLOOKUP(MATCH($B5,INDEX('Race Resuts'!$A$2:$W$23,0,MATCH(R$1,'Race Resuts'!$A$1:$W$1,0)),0),'Points Refrence'!$A$2:$B$11,2,FALSE),0)</f>
        <v>0</v>
      </c>
      <c r="S5" s="4">
        <f>IFERROR(VLOOKUP(MATCH($B5,INDEX('Race Resuts'!$A$2:$W$23,0,MATCH(S$1,'Race Resuts'!$A$1:$W$1,0)),0),'Points Refrence'!$A$2:$B$11,2,FALSE),0)</f>
        <v>0</v>
      </c>
      <c r="T5" s="42">
        <f>IFERROR(VLOOKUP(MATCH($B5,INDEX('Race Resuts'!$B$2:$W$23,0,MATCH(T$1,'Race Resuts'!$B$1:$W$1,0)),0),'Points Refrence'!$A$2:$B$11,2,FALSE),0)+IFERROR(VLOOKUP(MATCH($B5,INDEX('Sprint Race Results'!$B$2:$G$23,0,MATCH(T$1,'Sprint Race Results'!$B$1:$G$1,0)),0),'Points Refrence'!$D$2:$E$9,2,FALSE),0)</f>
        <v>0</v>
      </c>
      <c r="U5" s="4">
        <f>IFERROR(VLOOKUP(MATCH($B5,INDEX('Race Resuts'!$A$2:$W$23,0,MATCH(U$1,'Race Resuts'!$A$1:$W$1,0)),0),'Points Refrence'!$A$2:$B$11,2,FALSE),0)</f>
        <v>0</v>
      </c>
      <c r="V5" s="4">
        <f>IFERROR(VLOOKUP(MATCH($B5,INDEX('Race Resuts'!$A$2:$W$23,0,MATCH(V$1,'Race Resuts'!$A$1:$W$1,0)),0),'Points Refrence'!$A$2:$B$11,2,FALSE),0)</f>
        <v>0</v>
      </c>
      <c r="W5" s="4">
        <f>IFERROR(VLOOKUP(MATCH($B5,INDEX('Race Resuts'!$A$2:$W$23,0,MATCH(W$1,'Race Resuts'!$A$1:$W$1,0)),0),'Points Refrence'!$A$2:$B$11,2,FALSE),0)</f>
        <v>0</v>
      </c>
      <c r="X5" s="4">
        <f>IFERROR(VLOOKUP(MATCH($B5,INDEX('Race Resuts'!$A$2:$W$23,0,MATCH(X$1,'Race Resuts'!$A$1:$W$1,0)),0),'Points Refrence'!$A$2:$B$11,2,FALSE),0)</f>
        <v>0</v>
      </c>
      <c r="Y5" s="4">
        <f>IFERROR(VLOOKUP(MATCH($B5,INDEX('Race Resuts'!$A$2:$W$23,0,MATCH(Y$1,'Race Resuts'!$A$1:$W$1,0)),0),'Points Refrence'!$A$2:$B$11,2,FALSE),0)</f>
        <v>0</v>
      </c>
      <c r="Z5" s="4">
        <f>IFERROR(VLOOKUP(MATCH($B5,INDEX('Race Resuts'!$A$2:$W$23,0,MATCH(Z$1,'Race Resuts'!$A$1:$W$1,0)),0),'Points Refrence'!$A$2:$B$11,2,FALSE),0)</f>
        <v>0</v>
      </c>
      <c r="AA5" s="7">
        <f>RANK(AB5,$AB$2:$AB$23,0)+COUNTIF($AB$2:AB5,AB5)-1</f>
        <v>4</v>
      </c>
      <c r="AB5" s="7">
        <f t="shared" si="0"/>
        <v>138</v>
      </c>
      <c r="AD5" s="4">
        <f t="shared" si="1"/>
        <v>4</v>
      </c>
      <c r="AE5" s="4" t="str">
        <f t="shared" si="2"/>
        <v>LEC</v>
      </c>
      <c r="AF5" s="4">
        <f t="shared" si="3"/>
        <v>138</v>
      </c>
    </row>
    <row r="6" spans="1:34" ht="21.6" x14ac:dyDescent="0.4">
      <c r="A6" s="8" t="s">
        <v>75</v>
      </c>
      <c r="B6" s="8" t="s">
        <v>45</v>
      </c>
      <c r="C6" s="4">
        <f>IFERROR(VLOOKUP(MATCH($B6,INDEX('Race Resuts'!$A$2:$W$23,0,MATCH(C$1,'Race Resuts'!$A$1:$W$1,0)),0),'Points Refrence'!$A$2:$B$11,2,FALSE),0)</f>
        <v>10</v>
      </c>
      <c r="D6" s="42">
        <f>IFERROR(_xlfn.XLOOKUP(MATCH($B6,INDEX('Race Resuts'!$B$2:$W$23,0,MATCH(D$1,'Race Resuts'!$B$1:$W$1,0)),0),'Points Refrence'!$A$2:$A$11,'Points Refrence'!$B$2:$B$11,0),0)+IFERROR(_xlfn.XLOOKUP(MATCH($B6,INDEX('Sprint Race Results'!$B$2:$G$23,0,MATCH(D$1,'Sprint Race Results'!$B$1:$G$1,0)),0),'Points Refrence'!$D$2:$D$9,'Points Refrence'!$E$2:$E$9,0),0)</f>
        <v>5</v>
      </c>
      <c r="E6" s="4">
        <f>IFERROR(VLOOKUP(MATCH($B6,INDEX('Race Resuts'!$A$2:$W$23,0,MATCH(E$1,'Race Resuts'!$A$1:$W$1,0)),0),'Points Refrence'!$A$2:$B$11,2,FALSE),0)</f>
        <v>10</v>
      </c>
      <c r="F6" s="47">
        <f>IFERROR(VLOOKUP(MATCH($B6,INDEX('Race Resuts'!$A$2:$W$23,0,MATCH(F$1,'Race Resuts'!$A$1:$W$1,0)),0),'Points Refrence'!$A$2:$B$11,2,FALSE),0)</f>
        <v>0</v>
      </c>
      <c r="G6" s="47">
        <f>IFERROR(VLOOKUP(MATCH($B6,INDEX('Race Resuts'!$A$2:$W$23,0,MATCH(G$1,'Race Resuts'!$A$1:$W$1,0)),0),'Points Refrence'!$A$2:$B$11,2,FALSE),0)</f>
        <v>0</v>
      </c>
      <c r="H6" s="42">
        <f>IFERROR(VLOOKUP(MATCH($B6,INDEX('Race Resuts'!$B$2:$W$23,0,MATCH(H$1,'Race Resuts'!$B$1:$W$1,0)),0),'Points Refrence'!$A$2:$B$11,2,FALSE),0)+IFERROR(VLOOKUP(MATCH($B6,INDEX('Sprint Race Results'!$B$2:$G$23,0,MATCH(H$1,'Sprint Race Results'!$B$1:$G$1,0)),0),'Points Refrence'!$D$2:$E$9,2,FALSE),0)</f>
        <v>26</v>
      </c>
      <c r="I6" s="42">
        <f>IFERROR(VLOOKUP(MATCH($B6,INDEX('Race Resuts'!$B$2:$W$23,0,MATCH(I$1,'Race Resuts'!$B$1:$W$1,0)),0),'Points Refrence'!$A$2:$B$11,2,FALSE),0)+IFERROR(VLOOKUP(MATCH($B6,INDEX('Sprint Race Results'!$B$2:$G$23,0,MATCH(I$1,'Sprint Race Results'!$B$1:$G$1,0)),0),'Points Refrence'!$D$2:$E$9,2,FALSE),0)</f>
        <v>7</v>
      </c>
      <c r="J6" s="4">
        <f>IFERROR(VLOOKUP(MATCH($B6,INDEX('Race Resuts'!$A$2:$W$23,0,MATCH(J$1,'Race Resuts'!$A$1:$W$1,0)),0),'Points Refrence'!$A$2:$B$11,2,FALSE),0)</f>
        <v>0</v>
      </c>
      <c r="K6" s="4">
        <f>IFERROR(VLOOKUP(MATCH($B6,INDEX('Race Resuts'!$A$2:$W$23,0,MATCH(K$1,'Race Resuts'!$A$1:$W$1,0)),0),'Points Refrence'!$A$2:$B$11,2,FALSE),0)</f>
        <v>15</v>
      </c>
      <c r="L6" s="4">
        <f>IFERROR(VLOOKUP(MATCH($B6,INDEX('Race Resuts'!$A$2:$W$23,0,MATCH(L$1,'Race Resuts'!$A$1:$W$1,0)),0),'Points Refrence'!$A$2:$B$11,2,FALSE),0)</f>
        <v>6</v>
      </c>
      <c r="M6" s="42">
        <f>IFERROR(VLOOKUP(MATCH($B6,INDEX('Race Resuts'!$B$2:$W$23,0,MATCH(M$1,'Race Resuts'!$B$1:$W$1,0)),0),'Points Refrence'!$A$2:$B$11,2,FALSE),0)+IFERROR(VLOOKUP(MATCH($B6,INDEX('Sprint Race Results'!$B$2:$G$23,0,MATCH(M$1,'Sprint Race Results'!$B$1:$G$1,0)),0),'Points Refrence'!$D$2:$E$9,2,FALSE),0)</f>
        <v>18</v>
      </c>
      <c r="N6" s="4">
        <f>IFERROR(VLOOKUP(MATCH($B6,INDEX('Race Resuts'!$A$2:$W$23,0,MATCH(N$1,'Race Resuts'!$A$1:$W$1,0)),0),'Points Refrence'!$A$2:$B$11,2,FALSE),0)</f>
        <v>6</v>
      </c>
      <c r="O6" s="4">
        <f>IFERROR(VLOOKUP(MATCH($B6,INDEX('Race Resuts'!$A$2:$W$23,0,MATCH(O$1,'Race Resuts'!$A$1:$W$1,0)),0),'Points Refrence'!$A$2:$B$11,2,FALSE),0)</f>
        <v>25</v>
      </c>
      <c r="P6" s="42">
        <f>IFERROR(VLOOKUP(MATCH($B6,INDEX('Race Resuts'!$B$2:$W$23,0,MATCH(P$1,'Race Resuts'!$B$1:$W$1,0)),0),'Points Refrence'!$A$2:$B$11,2,FALSE),0)+IFERROR(VLOOKUP(MATCH($B6,INDEX('Sprint Race Results'!$B$2:$G$23,0,MATCH(P$1,'Sprint Race Results'!$B$1:$G$1,0)),0),'Points Refrence'!$D$2:$E$9,2,FALSE),0)</f>
        <v>0</v>
      </c>
      <c r="Q6" s="4">
        <f>IFERROR(VLOOKUP(MATCH($B6,INDEX('Race Resuts'!$A$2:$W$23,0,MATCH(Q$1,'Race Resuts'!$A$1:$W$1,0)),0),'Points Refrence'!$A$2:$B$11,2,FALSE),0)</f>
        <v>0</v>
      </c>
      <c r="R6" s="4">
        <f>IFERROR(VLOOKUP(MATCH($B6,INDEX('Race Resuts'!$A$2:$W$23,0,MATCH(R$1,'Race Resuts'!$A$1:$W$1,0)),0),'Points Refrence'!$A$2:$B$11,2,FALSE),0)</f>
        <v>0</v>
      </c>
      <c r="S6" s="4">
        <f>IFERROR(VLOOKUP(MATCH($B6,INDEX('Race Resuts'!$A$2:$W$23,0,MATCH(S$1,'Race Resuts'!$A$1:$W$1,0)),0),'Points Refrence'!$A$2:$B$11,2,FALSE),0)</f>
        <v>0</v>
      </c>
      <c r="T6" s="42">
        <f>IFERROR(VLOOKUP(MATCH($B6,INDEX('Race Resuts'!$B$2:$W$23,0,MATCH(T$1,'Race Resuts'!$B$1:$W$1,0)),0),'Points Refrence'!$A$2:$B$11,2,FALSE),0)+IFERROR(VLOOKUP(MATCH($B6,INDEX('Sprint Race Results'!$B$2:$G$23,0,MATCH(T$1,'Sprint Race Results'!$B$1:$G$1,0)),0),'Points Refrence'!$D$2:$E$9,2,FALSE),0)</f>
        <v>0</v>
      </c>
      <c r="U6" s="4">
        <f>IFERROR(VLOOKUP(MATCH($B6,INDEX('Race Resuts'!$A$2:$W$23,0,MATCH(U$1,'Race Resuts'!$A$1:$W$1,0)),0),'Points Refrence'!$A$2:$B$11,2,FALSE),0)</f>
        <v>0</v>
      </c>
      <c r="V6" s="4">
        <f>IFERROR(VLOOKUP(MATCH($B6,INDEX('Race Resuts'!$A$2:$W$23,0,MATCH(V$1,'Race Resuts'!$A$1:$W$1,0)),0),'Points Refrence'!$A$2:$B$11,2,FALSE),0)</f>
        <v>0</v>
      </c>
      <c r="W6" s="4">
        <f>IFERROR(VLOOKUP(MATCH($B6,INDEX('Race Resuts'!$A$2:$W$23,0,MATCH(W$1,'Race Resuts'!$A$1:$W$1,0)),0),'Points Refrence'!$A$2:$B$11,2,FALSE),0)</f>
        <v>0</v>
      </c>
      <c r="X6" s="4">
        <f>IFERROR(VLOOKUP(MATCH($B6,INDEX('Race Resuts'!$A$2:$W$23,0,MATCH(X$1,'Race Resuts'!$A$1:$W$1,0)),0),'Points Refrence'!$A$2:$B$11,2,FALSE),0)</f>
        <v>0</v>
      </c>
      <c r="Y6" s="4">
        <f>IFERROR(VLOOKUP(MATCH($B6,INDEX('Race Resuts'!$A$2:$W$23,0,MATCH(Y$1,'Race Resuts'!$A$1:$W$1,0)),0),'Points Refrence'!$A$2:$B$11,2,FALSE),0)</f>
        <v>0</v>
      </c>
      <c r="Z6" s="4">
        <f>IFERROR(VLOOKUP(MATCH($B6,INDEX('Race Resuts'!$A$2:$W$23,0,MATCH(Z$1,'Race Resuts'!$A$1:$W$1,0)),0),'Points Refrence'!$A$2:$B$11,2,FALSE),0)</f>
        <v>0</v>
      </c>
      <c r="AA6" s="7">
        <f>RANK(AB6,$AB$2:$AB$23,0)+COUNTIF($AB$2:AB6,AB6)-1</f>
        <v>5</v>
      </c>
      <c r="AB6" s="7">
        <f t="shared" si="0"/>
        <v>128</v>
      </c>
      <c r="AD6" s="4">
        <f t="shared" si="1"/>
        <v>5</v>
      </c>
      <c r="AE6" s="4" t="str">
        <f t="shared" si="2"/>
        <v>NOR</v>
      </c>
      <c r="AF6" s="4">
        <f t="shared" si="3"/>
        <v>128</v>
      </c>
    </row>
    <row r="7" spans="1:34" ht="21.6" x14ac:dyDescent="0.4">
      <c r="A7" s="8" t="s">
        <v>77</v>
      </c>
      <c r="B7" s="8" t="s">
        <v>52</v>
      </c>
      <c r="C7" s="4">
        <f>IFERROR(VLOOKUP(MATCH($B7,INDEX('Race Resuts'!$A$2:$W$23,0,MATCH(C$1,'Race Resuts'!$A$1:$W$1,0)),0),'Points Refrence'!$A$2:$B$11,2,FALSE),0)</f>
        <v>0</v>
      </c>
      <c r="D7" s="42">
        <f>IFERROR(_xlfn.XLOOKUP(MATCH($B7,INDEX('Race Resuts'!$B$2:$W$23,0,MATCH(D$1,'Race Resuts'!$B$1:$W$1,0)),0),'Points Refrence'!$A$2:$A$11,'Points Refrence'!$B$2:$B$11,0),0)+IFERROR(_xlfn.XLOOKUP(MATCH($B7,INDEX('Sprint Race Results'!$B$2:$G$23,0,MATCH(D$1,'Sprint Race Results'!$B$1:$G$1,0)),0),'Points Refrence'!$D$2:$D$9,'Points Refrence'!$E$2:$E$9,0),0)</f>
        <v>3</v>
      </c>
      <c r="E7" s="4">
        <f>IFERROR(VLOOKUP(MATCH($B7,INDEX('Race Resuts'!$A$2:$W$23,0,MATCH(E$1,'Race Resuts'!$A$1:$W$1,0)),0),'Points Refrence'!$A$2:$B$11,2,FALSE),0)</f>
        <v>18</v>
      </c>
      <c r="F7" s="47">
        <f>IFERROR(VLOOKUP(MATCH($B7,INDEX('Race Resuts'!$A$2:$W$23,0,MATCH(F$1,'Race Resuts'!$A$1:$W$1,0)),0),'Points Refrence'!$A$2:$B$11,2,FALSE),0)</f>
        <v>0</v>
      </c>
      <c r="G7" s="47">
        <f>IFERROR(VLOOKUP(MATCH($B7,INDEX('Race Resuts'!$A$2:$W$23,0,MATCH(G$1,'Race Resuts'!$A$1:$W$1,0)),0),'Points Refrence'!$A$2:$B$11,2,FALSE),0)</f>
        <v>0</v>
      </c>
      <c r="H7" s="42">
        <f>IFERROR(VLOOKUP(MATCH($B7,INDEX('Race Resuts'!$B$2:$W$23,0,MATCH(H$1,'Race Resuts'!$B$1:$W$1,0)),0),'Points Refrence'!$A$2:$B$11,2,FALSE),0)+IFERROR(VLOOKUP(MATCH($B7,INDEX('Sprint Race Results'!$B$2:$G$23,0,MATCH(H$1,'Sprint Race Results'!$B$1:$G$1,0)),0),'Points Refrence'!$D$2:$E$9,2,FALSE),0)</f>
        <v>22</v>
      </c>
      <c r="I7" s="42">
        <f>IFERROR(VLOOKUP(MATCH($B7,INDEX('Race Resuts'!$B$2:$W$23,0,MATCH(I$1,'Race Resuts'!$B$1:$W$1,0)),0),'Points Refrence'!$A$2:$B$11,2,FALSE),0)+IFERROR(VLOOKUP(MATCH($B7,INDEX('Sprint Race Results'!$B$2:$G$23,0,MATCH(I$1,'Sprint Race Results'!$B$1:$G$1,0)),0),'Points Refrence'!$D$2:$E$9,2,FALSE),0)</f>
        <v>5</v>
      </c>
      <c r="J7" s="4">
        <f>IFERROR(VLOOKUP(MATCH($B7,INDEX('Race Resuts'!$A$2:$W$23,0,MATCH(J$1,'Race Resuts'!$A$1:$W$1,0)),0),'Points Refrence'!$A$2:$B$11,2,FALSE),0)</f>
        <v>10</v>
      </c>
      <c r="K7" s="4">
        <f>IFERROR(VLOOKUP(MATCH($B7,INDEX('Race Resuts'!$A$2:$W$23,0,MATCH(K$1,'Race Resuts'!$A$1:$W$1,0)),0),'Points Refrence'!$A$2:$B$11,2,FALSE),0)</f>
        <v>10</v>
      </c>
      <c r="L7" s="4">
        <f>IFERROR(VLOOKUP(MATCH($B7,INDEX('Race Resuts'!$A$2:$W$23,0,MATCH(L$1,'Race Resuts'!$A$1:$W$1,0)),0),'Points Refrence'!$A$2:$B$11,2,FALSE),0)</f>
        <v>12</v>
      </c>
      <c r="M7" s="42">
        <f>IFERROR(VLOOKUP(MATCH($B7,INDEX('Race Resuts'!$B$2:$W$23,0,MATCH(M$1,'Race Resuts'!$B$1:$W$1,0)),0),'Points Refrence'!$A$2:$B$11,2,FALSE),0)+IFERROR(VLOOKUP(MATCH($B7,INDEX('Sprint Race Results'!$B$2:$G$23,0,MATCH(M$1,'Sprint Race Results'!$B$1:$G$1,0)),0),'Points Refrence'!$D$2:$E$9,2,FALSE),0)</f>
        <v>2</v>
      </c>
      <c r="N7" s="4">
        <f>IFERROR(VLOOKUP(MATCH($B7,INDEX('Race Resuts'!$A$2:$W$23,0,MATCH(N$1,'Race Resuts'!$A$1:$W$1,0)),0),'Points Refrence'!$A$2:$B$11,2,FALSE),0)</f>
        <v>10</v>
      </c>
      <c r="O7" s="4">
        <f>IFERROR(VLOOKUP(MATCH($B7,INDEX('Race Resuts'!$A$2:$W$23,0,MATCH(O$1,'Race Resuts'!$A$1:$W$1,0)),0),'Points Refrence'!$A$2:$B$11,2,FALSE),0)</f>
        <v>0</v>
      </c>
      <c r="P7" s="42">
        <f>IFERROR(VLOOKUP(MATCH($B7,INDEX('Race Resuts'!$B$2:$W$23,0,MATCH(P$1,'Race Resuts'!$B$1:$W$1,0)),0),'Points Refrence'!$A$2:$B$11,2,FALSE),0)+IFERROR(VLOOKUP(MATCH($B7,INDEX('Sprint Race Results'!$B$2:$G$23,0,MATCH(P$1,'Sprint Race Results'!$B$1:$G$1,0)),0),'Points Refrence'!$D$2:$E$9,2,FALSE),0)</f>
        <v>0</v>
      </c>
      <c r="Q7" s="4">
        <f>IFERROR(VLOOKUP(MATCH($B7,INDEX('Race Resuts'!$A$2:$W$23,0,MATCH(Q$1,'Race Resuts'!$A$1:$W$1,0)),0),'Points Refrence'!$A$2:$B$11,2,FALSE),0)</f>
        <v>0</v>
      </c>
      <c r="R7" s="4">
        <f>IFERROR(VLOOKUP(MATCH($B7,INDEX('Race Resuts'!$A$2:$W$23,0,MATCH(R$1,'Race Resuts'!$A$1:$W$1,0)),0),'Points Refrence'!$A$2:$B$11,2,FALSE),0)</f>
        <v>0</v>
      </c>
      <c r="S7" s="4">
        <f>IFERROR(VLOOKUP(MATCH($B7,INDEX('Race Resuts'!$A$2:$W$23,0,MATCH(S$1,'Race Resuts'!$A$1:$W$1,0)),0),'Points Refrence'!$A$2:$B$11,2,FALSE),0)</f>
        <v>0</v>
      </c>
      <c r="T7" s="42">
        <f>IFERROR(VLOOKUP(MATCH($B7,INDEX('Race Resuts'!$B$2:$W$23,0,MATCH(T$1,'Race Resuts'!$B$1:$W$1,0)),0),'Points Refrence'!$A$2:$B$11,2,FALSE),0)+IFERROR(VLOOKUP(MATCH($B7,INDEX('Sprint Race Results'!$B$2:$G$23,0,MATCH(T$1,'Sprint Race Results'!$B$1:$G$1,0)),0),'Points Refrence'!$D$2:$E$9,2,FALSE),0)</f>
        <v>0</v>
      </c>
      <c r="U7" s="4">
        <f>IFERROR(VLOOKUP(MATCH($B7,INDEX('Race Resuts'!$A$2:$W$23,0,MATCH(U$1,'Race Resuts'!$A$1:$W$1,0)),0),'Points Refrence'!$A$2:$B$11,2,FALSE),0)</f>
        <v>0</v>
      </c>
      <c r="V7" s="4">
        <f>IFERROR(VLOOKUP(MATCH($B7,INDEX('Race Resuts'!$A$2:$W$23,0,MATCH(V$1,'Race Resuts'!$A$1:$W$1,0)),0),'Points Refrence'!$A$2:$B$11,2,FALSE),0)</f>
        <v>0</v>
      </c>
      <c r="W7" s="4">
        <f>IFERROR(VLOOKUP(MATCH($B7,INDEX('Race Resuts'!$A$2:$W$23,0,MATCH(W$1,'Race Resuts'!$A$1:$W$1,0)),0),'Points Refrence'!$A$2:$B$11,2,FALSE),0)</f>
        <v>0</v>
      </c>
      <c r="X7" s="4">
        <f>IFERROR(VLOOKUP(MATCH($B7,INDEX('Race Resuts'!$A$2:$W$23,0,MATCH(X$1,'Race Resuts'!$A$1:$W$1,0)),0),'Points Refrence'!$A$2:$B$11,2,FALSE),0)</f>
        <v>0</v>
      </c>
      <c r="Y7" s="4">
        <f>IFERROR(VLOOKUP(MATCH($B7,INDEX('Race Resuts'!$A$2:$W$23,0,MATCH(Y$1,'Race Resuts'!$A$1:$W$1,0)),0),'Points Refrence'!$A$2:$B$11,2,FALSE),0)</f>
        <v>0</v>
      </c>
      <c r="Z7" s="4">
        <f>IFERROR(VLOOKUP(MATCH($B7,INDEX('Race Resuts'!$A$2:$W$23,0,MATCH(Z$1,'Race Resuts'!$A$1:$W$1,0)),0),'Points Refrence'!$A$2:$B$11,2,FALSE),0)</f>
        <v>0</v>
      </c>
      <c r="AA7" s="7">
        <f>RANK(AB7,$AB$2:$AB$23,0)+COUNTIF($AB$2:AB7,AB7)-1</f>
        <v>7</v>
      </c>
      <c r="AB7" s="7">
        <f t="shared" si="0"/>
        <v>92</v>
      </c>
      <c r="AD7" s="4">
        <f t="shared" si="1"/>
        <v>6</v>
      </c>
      <c r="AE7" s="4" t="str">
        <f t="shared" si="2"/>
        <v>VER</v>
      </c>
      <c r="AF7" s="4">
        <f t="shared" si="3"/>
        <v>109</v>
      </c>
    </row>
    <row r="8" spans="1:34" ht="21.6" x14ac:dyDescent="0.4">
      <c r="A8" s="11" t="s">
        <v>78</v>
      </c>
      <c r="B8" s="11" t="s">
        <v>60</v>
      </c>
      <c r="C8" s="4">
        <f>IFERROR(VLOOKUP(MATCH($B8,INDEX('Race Resuts'!$A$2:$W$23,0,MATCH(C$1,'Race Resuts'!$A$1:$W$1,0)),0),'Points Refrence'!$A$2:$B$11,2,FALSE),0)</f>
        <v>8</v>
      </c>
      <c r="D8" s="42">
        <f>IFERROR(_xlfn.XLOOKUP(MATCH($B8,INDEX('Race Resuts'!$B$2:$W$23,0,MATCH(D$1,'Race Resuts'!$B$1:$W$1,0)),0),'Points Refrence'!$A$2:$A$11,'Points Refrence'!$B$2:$B$11,0),0)+IFERROR(_xlfn.XLOOKUP(MATCH($B8,INDEX('Sprint Race Results'!$B$2:$G$23,0,MATCH(D$1,'Sprint Race Results'!$B$1:$G$1,0)),0),'Points Refrence'!$D$2:$D$9,'Points Refrence'!$E$2:$E$9,0),0)</f>
        <v>0</v>
      </c>
      <c r="E8" s="4">
        <f>IFERROR(VLOOKUP(MATCH($B8,INDEX('Race Resuts'!$A$2:$W$23,0,MATCH(E$1,'Race Resuts'!$A$1:$W$1,0)),0),'Points Refrence'!$A$2:$B$11,2,FALSE),0)</f>
        <v>4</v>
      </c>
      <c r="F8" s="47">
        <f>IFERROR(VLOOKUP(MATCH($B8,INDEX('Race Resuts'!$A$2:$W$23,0,MATCH(F$1,'Race Resuts'!$A$1:$W$1,0)),0),'Points Refrence'!$A$2:$B$11,2,FALSE),0)</f>
        <v>0</v>
      </c>
      <c r="G8" s="47">
        <f>IFERROR(VLOOKUP(MATCH($B8,INDEX('Race Resuts'!$A$2:$W$23,0,MATCH(G$1,'Race Resuts'!$A$1:$W$1,0)),0),'Points Refrence'!$A$2:$B$11,2,FALSE),0)</f>
        <v>0</v>
      </c>
      <c r="H8" s="42">
        <f>IFERROR(VLOOKUP(MATCH($B8,INDEX('Race Resuts'!$B$2:$W$23,0,MATCH(H$1,'Race Resuts'!$B$1:$W$1,0)),0),'Points Refrence'!$A$2:$B$11,2,FALSE),0)+IFERROR(VLOOKUP(MATCH($B8,INDEX('Sprint Race Results'!$B$2:$G$23,0,MATCH(H$1,'Sprint Race Results'!$B$1:$G$1,0)),0),'Points Refrence'!$D$2:$E$9,2,FALSE),0)</f>
        <v>14</v>
      </c>
      <c r="I8" s="42">
        <f>IFERROR(VLOOKUP(MATCH($B8,INDEX('Race Resuts'!$B$2:$W$23,0,MATCH(I$1,'Race Resuts'!$B$1:$W$1,0)),0),'Points Refrence'!$A$2:$B$11,2,FALSE),0)+IFERROR(VLOOKUP(MATCH($B8,INDEX('Sprint Race Results'!$B$2:$G$23,0,MATCH(I$1,'Sprint Race Results'!$B$1:$G$1,0)),0),'Points Refrence'!$D$2:$E$9,2,FALSE),0)</f>
        <v>17</v>
      </c>
      <c r="J8" s="4">
        <f>IFERROR(VLOOKUP(MATCH($B8,INDEX('Race Resuts'!$A$2:$W$23,0,MATCH(J$1,'Race Resuts'!$A$1:$W$1,0)),0),'Points Refrence'!$A$2:$B$11,2,FALSE),0)</f>
        <v>0</v>
      </c>
      <c r="K8" s="4">
        <f>IFERROR(VLOOKUP(MATCH($B8,INDEX('Race Resuts'!$A$2:$W$23,0,MATCH(K$1,'Race Resuts'!$A$1:$W$1,0)),0),'Points Refrence'!$A$2:$B$11,2,FALSE),0)</f>
        <v>12</v>
      </c>
      <c r="L8" s="4">
        <f>IFERROR(VLOOKUP(MATCH($B8,INDEX('Race Resuts'!$A$2:$W$23,0,MATCH(L$1,'Race Resuts'!$A$1:$W$1,0)),0),'Points Refrence'!$A$2:$B$11,2,FALSE),0)</f>
        <v>18</v>
      </c>
      <c r="M8" s="42">
        <f>IFERROR(VLOOKUP(MATCH($B8,INDEX('Race Resuts'!$B$2:$W$23,0,MATCH(M$1,'Race Resuts'!$B$1:$W$1,0)),0),'Points Refrence'!$A$2:$B$11,2,FALSE),0)+IFERROR(VLOOKUP(MATCH($B8,INDEX('Sprint Race Results'!$B$2:$G$23,0,MATCH(M$1,'Sprint Race Results'!$B$1:$G$1,0)),0),'Points Refrence'!$D$2:$E$9,2,FALSE),0)</f>
        <v>3</v>
      </c>
      <c r="N8" s="4">
        <f>IFERROR(VLOOKUP(MATCH($B8,INDEX('Race Resuts'!$A$2:$W$23,0,MATCH(N$1,'Race Resuts'!$A$1:$W$1,0)),0),'Points Refrence'!$A$2:$B$11,2,FALSE),0)</f>
        <v>15</v>
      </c>
      <c r="O8" s="4">
        <f>IFERROR(VLOOKUP(MATCH($B8,INDEX('Race Resuts'!$A$2:$W$23,0,MATCH(O$1,'Race Resuts'!$A$1:$W$1,0)),0),'Points Refrence'!$A$2:$B$11,2,FALSE),0)</f>
        <v>18</v>
      </c>
      <c r="P8" s="42">
        <f>IFERROR(VLOOKUP(MATCH($B8,INDEX('Race Resuts'!$B$2:$W$23,0,MATCH(P$1,'Race Resuts'!$B$1:$W$1,0)),0),'Points Refrence'!$A$2:$B$11,2,FALSE),0)+IFERROR(VLOOKUP(MATCH($B8,INDEX('Sprint Race Results'!$B$2:$G$23,0,MATCH(P$1,'Sprint Race Results'!$B$1:$G$1,0)),0),'Points Refrence'!$D$2:$E$9,2,FALSE),0)</f>
        <v>0</v>
      </c>
      <c r="Q8" s="4">
        <f>IFERROR(VLOOKUP(MATCH($B8,INDEX('Race Resuts'!$A$2:$W$23,0,MATCH(Q$1,'Race Resuts'!$A$1:$W$1,0)),0),'Points Refrence'!$A$2:$B$11,2,FALSE),0)</f>
        <v>0</v>
      </c>
      <c r="R8" s="4">
        <f>IFERROR(VLOOKUP(MATCH($B8,INDEX('Race Resuts'!$A$2:$W$23,0,MATCH(R$1,'Race Resuts'!$A$1:$W$1,0)),0),'Points Refrence'!$A$2:$B$11,2,FALSE),0)</f>
        <v>0</v>
      </c>
      <c r="S8" s="4">
        <f>IFERROR(VLOOKUP(MATCH($B8,INDEX('Race Resuts'!$A$2:$W$23,0,MATCH(S$1,'Race Resuts'!$A$1:$W$1,0)),0),'Points Refrence'!$A$2:$B$11,2,FALSE),0)</f>
        <v>0</v>
      </c>
      <c r="T8" s="42">
        <f>IFERROR(VLOOKUP(MATCH($B8,INDEX('Race Resuts'!$B$2:$W$23,0,MATCH(T$1,'Race Resuts'!$B$1:$W$1,0)),0),'Points Refrence'!$A$2:$B$11,2,FALSE),0)+IFERROR(VLOOKUP(MATCH($B8,INDEX('Sprint Race Results'!$B$2:$G$23,0,MATCH(T$1,'Sprint Race Results'!$B$1:$G$1,0)),0),'Points Refrence'!$D$2:$E$9,2,FALSE),0)</f>
        <v>0</v>
      </c>
      <c r="U8" s="4">
        <f>IFERROR(VLOOKUP(MATCH($B8,INDEX('Race Resuts'!$A$2:$W$23,0,MATCH(U$1,'Race Resuts'!$A$1:$W$1,0)),0),'Points Refrence'!$A$2:$B$11,2,FALSE),0)</f>
        <v>0</v>
      </c>
      <c r="V8" s="4">
        <f>IFERROR(VLOOKUP(MATCH($B8,INDEX('Race Resuts'!$A$2:$W$23,0,MATCH(V$1,'Race Resuts'!$A$1:$W$1,0)),0),'Points Refrence'!$A$2:$B$11,2,FALSE),0)</f>
        <v>0</v>
      </c>
      <c r="W8" s="4">
        <f>IFERROR(VLOOKUP(MATCH($B8,INDEX('Race Resuts'!$A$2:$W$23,0,MATCH(W$1,'Race Resuts'!$A$1:$W$1,0)),0),'Points Refrence'!$A$2:$B$11,2,FALSE),0)</f>
        <v>0</v>
      </c>
      <c r="X8" s="4">
        <f>IFERROR(VLOOKUP(MATCH($B8,INDEX('Race Resuts'!$A$2:$W$23,0,MATCH(X$1,'Race Resuts'!$A$1:$W$1,0)),0),'Points Refrence'!$A$2:$B$11,2,FALSE),0)</f>
        <v>0</v>
      </c>
      <c r="Y8" s="4">
        <f>IFERROR(VLOOKUP(MATCH($B8,INDEX('Race Resuts'!$A$2:$W$23,0,MATCH(Y$1,'Race Resuts'!$A$1:$W$1,0)),0),'Points Refrence'!$A$2:$B$11,2,FALSE),0)</f>
        <v>0</v>
      </c>
      <c r="Z8" s="4">
        <f>IFERROR(VLOOKUP(MATCH($B8,INDEX('Race Resuts'!$A$2:$W$23,0,MATCH(Z$1,'Race Resuts'!$A$1:$W$1,0)),0),'Points Refrence'!$A$2:$B$11,2,FALSE),0)</f>
        <v>0</v>
      </c>
      <c r="AA8" s="7">
        <f>RANK(AB8,$AB$2:$AB$23,0)+COUNTIF($AB$2:AB8,AB8)-1</f>
        <v>6</v>
      </c>
      <c r="AB8" s="7">
        <f t="shared" si="0"/>
        <v>109</v>
      </c>
      <c r="AD8" s="4">
        <f t="shared" si="1"/>
        <v>7</v>
      </c>
      <c r="AE8" s="4" t="str">
        <f t="shared" si="2"/>
        <v>PIA</v>
      </c>
      <c r="AF8" s="4">
        <f t="shared" si="3"/>
        <v>92</v>
      </c>
    </row>
    <row r="9" spans="1:34" ht="21.6" x14ac:dyDescent="0.4">
      <c r="A9" s="11" t="s">
        <v>79</v>
      </c>
      <c r="B9" s="11" t="s">
        <v>46</v>
      </c>
      <c r="C9" s="4">
        <f>IFERROR(VLOOKUP(MATCH($B9,INDEX('Race Resuts'!$A$2:$W$23,0,MATCH(C$1,'Race Resuts'!$A$1:$W$1,0)),0),'Points Refrence'!$A$2:$B$11,2,FALSE),0)</f>
        <v>0</v>
      </c>
      <c r="D9" s="42">
        <f>IFERROR(_xlfn.XLOOKUP(MATCH($B9,INDEX('Race Resuts'!$B$2:$W$23,0,MATCH(D$1,'Race Resuts'!$B$1:$W$1,0)),0),'Points Refrence'!$A$2:$A$11,'Points Refrence'!$B$2:$B$11,0),0)+IFERROR(_xlfn.XLOOKUP(MATCH($B9,INDEX('Sprint Race Results'!$B$2:$G$23,0,MATCH(D$1,'Sprint Race Results'!$B$1:$G$1,0)),0),'Points Refrence'!$D$2:$D$9,'Points Refrence'!$E$2:$E$9,0),0)</f>
        <v>4</v>
      </c>
      <c r="E9" s="4">
        <f>IFERROR(VLOOKUP(MATCH($B9,INDEX('Race Resuts'!$A$2:$W$23,0,MATCH(E$1,'Race Resuts'!$A$1:$W$1,0)),0),'Points Refrence'!$A$2:$B$11,2,FALSE),0)</f>
        <v>0</v>
      </c>
      <c r="F9" s="47">
        <f>IFERROR(VLOOKUP(MATCH($B9,INDEX('Race Resuts'!$A$2:$W$23,0,MATCH(F$1,'Race Resuts'!$A$1:$W$1,0)),0),'Points Refrence'!$A$2:$B$11,2,FALSE),0)</f>
        <v>0</v>
      </c>
      <c r="G9" s="47">
        <f>IFERROR(VLOOKUP(MATCH($B9,INDEX('Race Resuts'!$A$2:$W$23,0,MATCH(G$1,'Race Resuts'!$A$1:$W$1,0)),0),'Points Refrence'!$A$2:$B$11,2,FALSE),0)</f>
        <v>0</v>
      </c>
      <c r="H9" s="42">
        <f>IFERROR(VLOOKUP(MATCH($B9,INDEX('Race Resuts'!$B$2:$W$23,0,MATCH(H$1,'Race Resuts'!$B$1:$W$1,0)),0),'Points Refrence'!$A$2:$B$11,2,FALSE),0)+IFERROR(VLOOKUP(MATCH($B9,INDEX('Sprint Race Results'!$B$2:$G$23,0,MATCH(H$1,'Sprint Race Results'!$B$1:$G$1,0)),0),'Points Refrence'!$D$2:$E$9,2,FALSE),0)</f>
        <v>0</v>
      </c>
      <c r="I9" s="42">
        <f>IFERROR(VLOOKUP(MATCH($B9,INDEX('Race Resuts'!$B$2:$W$23,0,MATCH(I$1,'Race Resuts'!$B$1:$W$1,0)),0),'Points Refrence'!$A$2:$B$11,2,FALSE),0)+IFERROR(VLOOKUP(MATCH($B9,INDEX('Sprint Race Results'!$B$2:$G$23,0,MATCH(I$1,'Sprint Race Results'!$B$1:$G$1,0)),0),'Points Refrence'!$D$2:$E$9,2,FALSE),0)</f>
        <v>10</v>
      </c>
      <c r="J9" s="4">
        <f>IFERROR(VLOOKUP(MATCH($B9,INDEX('Race Resuts'!$A$2:$W$23,0,MATCH(J$1,'Race Resuts'!$A$1:$W$1,0)),0),'Points Refrence'!$A$2:$B$11,2,FALSE),0)</f>
        <v>12</v>
      </c>
      <c r="K9" s="4">
        <f>IFERROR(VLOOKUP(MATCH($B9,INDEX('Race Resuts'!$A$2:$W$23,0,MATCH(K$1,'Race Resuts'!$A$1:$W$1,0)),0),'Points Refrence'!$A$2:$B$11,2,FALSE),0)</f>
        <v>8</v>
      </c>
      <c r="L9" s="4">
        <f>IFERROR(VLOOKUP(MATCH($B9,INDEX('Race Resuts'!$A$2:$W$23,0,MATCH(L$1,'Race Resuts'!$A$1:$W$1,0)),0),'Points Refrence'!$A$2:$B$11,2,FALSE),0)</f>
        <v>8</v>
      </c>
      <c r="M9" s="42">
        <f>IFERROR(VLOOKUP(MATCH($B9,INDEX('Race Resuts'!$B$2:$W$23,0,MATCH(M$1,'Race Resuts'!$B$1:$W$1,0)),0),'Points Refrence'!$A$2:$B$11,2,FALSE),0)+IFERROR(VLOOKUP(MATCH($B9,INDEX('Sprint Race Results'!$B$2:$G$23,0,MATCH(M$1,'Sprint Race Results'!$B$1:$G$1,0)),0),'Points Refrence'!$D$2:$E$9,2,FALSE),0)</f>
        <v>10</v>
      </c>
      <c r="N9" s="4">
        <f>IFERROR(VLOOKUP(MATCH($B9,INDEX('Race Resuts'!$A$2:$W$23,0,MATCH(N$1,'Race Resuts'!$A$1:$W$1,0)),0),'Points Refrence'!$A$2:$B$11,2,FALSE),0)</f>
        <v>8</v>
      </c>
      <c r="O9" s="4">
        <f>IFERROR(VLOOKUP(MATCH($B9,INDEX('Race Resuts'!$A$2:$W$23,0,MATCH(O$1,'Race Resuts'!$A$1:$W$1,0)),0),'Points Refrence'!$A$2:$B$11,2,FALSE),0)</f>
        <v>8</v>
      </c>
      <c r="P9" s="42">
        <f>IFERROR(VLOOKUP(MATCH($B9,INDEX('Race Resuts'!$B$2:$W$23,0,MATCH(P$1,'Race Resuts'!$B$1:$W$1,0)),0),'Points Refrence'!$A$2:$B$11,2,FALSE),0)+IFERROR(VLOOKUP(MATCH($B9,INDEX('Sprint Race Results'!$B$2:$G$23,0,MATCH(P$1,'Sprint Race Results'!$B$1:$G$1,0)),0),'Points Refrence'!$D$2:$E$9,2,FALSE),0)</f>
        <v>0</v>
      </c>
      <c r="Q9" s="4">
        <f>IFERROR(VLOOKUP(MATCH($B9,INDEX('Race Resuts'!$A$2:$W$23,0,MATCH(Q$1,'Race Resuts'!$A$1:$W$1,0)),0),'Points Refrence'!$A$2:$B$11,2,FALSE),0)</f>
        <v>0</v>
      </c>
      <c r="R9" s="4">
        <f>IFERROR(VLOOKUP(MATCH($B9,INDEX('Race Resuts'!$A$2:$W$23,0,MATCH(R$1,'Race Resuts'!$A$1:$W$1,0)),0),'Points Refrence'!$A$2:$B$11,2,FALSE),0)</f>
        <v>0</v>
      </c>
      <c r="S9" s="4">
        <f>IFERROR(VLOOKUP(MATCH($B9,INDEX('Race Resuts'!$A$2:$W$23,0,MATCH(S$1,'Race Resuts'!$A$1:$W$1,0)),0),'Points Refrence'!$A$2:$B$11,2,FALSE),0)</f>
        <v>0</v>
      </c>
      <c r="T9" s="42">
        <f>IFERROR(VLOOKUP(MATCH($B9,INDEX('Race Resuts'!$B$2:$W$23,0,MATCH(T$1,'Race Resuts'!$B$1:$W$1,0)),0),'Points Refrence'!$A$2:$B$11,2,FALSE),0)+IFERROR(VLOOKUP(MATCH($B9,INDEX('Sprint Race Results'!$B$2:$G$23,0,MATCH(T$1,'Sprint Race Results'!$B$1:$G$1,0)),0),'Points Refrence'!$D$2:$E$9,2,FALSE),0)</f>
        <v>0</v>
      </c>
      <c r="U9" s="4">
        <f>IFERROR(VLOOKUP(MATCH($B9,INDEX('Race Resuts'!$A$2:$W$23,0,MATCH(U$1,'Race Resuts'!$A$1:$W$1,0)),0),'Points Refrence'!$A$2:$B$11,2,FALSE),0)</f>
        <v>0</v>
      </c>
      <c r="V9" s="4">
        <f>IFERROR(VLOOKUP(MATCH($B9,INDEX('Race Resuts'!$A$2:$W$23,0,MATCH(V$1,'Race Resuts'!$A$1:$W$1,0)),0),'Points Refrence'!$A$2:$B$11,2,FALSE),0)</f>
        <v>0</v>
      </c>
      <c r="W9" s="4">
        <f>IFERROR(VLOOKUP(MATCH($B9,INDEX('Race Resuts'!$A$2:$W$23,0,MATCH(W$1,'Race Resuts'!$A$1:$W$1,0)),0),'Points Refrence'!$A$2:$B$11,2,FALSE),0)</f>
        <v>0</v>
      </c>
      <c r="X9" s="4">
        <f>IFERROR(VLOOKUP(MATCH($B9,INDEX('Race Resuts'!$A$2:$W$23,0,MATCH(X$1,'Race Resuts'!$A$1:$W$1,0)),0),'Points Refrence'!$A$2:$B$11,2,FALSE),0)</f>
        <v>0</v>
      </c>
      <c r="Y9" s="4">
        <f>IFERROR(VLOOKUP(MATCH($B9,INDEX('Race Resuts'!$A$2:$W$23,0,MATCH(Y$1,'Race Resuts'!$A$1:$W$1,0)),0),'Points Refrence'!$A$2:$B$11,2,FALSE),0)</f>
        <v>0</v>
      </c>
      <c r="Z9" s="4">
        <f>IFERROR(VLOOKUP(MATCH($B9,INDEX('Race Resuts'!$A$2:$W$23,0,MATCH(Z$1,'Race Resuts'!$A$1:$W$1,0)),0),'Points Refrence'!$A$2:$B$11,2,FALSE),0)</f>
        <v>0</v>
      </c>
      <c r="AA9" s="7">
        <f>RANK(AB9,$AB$2:$AB$23,0)+COUNTIF($AB$2:AB9,AB9)-1</f>
        <v>8</v>
      </c>
      <c r="AB9" s="7">
        <f t="shared" si="0"/>
        <v>68</v>
      </c>
      <c r="AD9" s="4">
        <f t="shared" si="1"/>
        <v>8</v>
      </c>
      <c r="AE9" s="4" t="str">
        <f t="shared" si="2"/>
        <v>HAD</v>
      </c>
      <c r="AF9" s="4">
        <f t="shared" si="3"/>
        <v>68</v>
      </c>
    </row>
    <row r="10" spans="1:34" ht="21.6" x14ac:dyDescent="0.4">
      <c r="A10" s="13" t="s">
        <v>80</v>
      </c>
      <c r="B10" s="13" t="s">
        <v>51</v>
      </c>
      <c r="C10" s="4">
        <f>IFERROR(VLOOKUP(MATCH($B10,INDEX('Race Resuts'!$A$2:$W$23,0,MATCH(C$1,'Race Resuts'!$A$1:$W$1,0)),0),'Points Refrence'!$A$2:$B$11,2,FALSE),0)</f>
        <v>1</v>
      </c>
      <c r="D10" s="42">
        <f>IFERROR(_xlfn.XLOOKUP(MATCH($B10,INDEX('Race Resuts'!$B$2:$W$23,0,MATCH(D$1,'Race Resuts'!$B$1:$W$1,0)),0),'Points Refrence'!$A$2:$A$11,'Points Refrence'!$B$2:$B$11,0),0)+IFERROR(_xlfn.XLOOKUP(MATCH($B10,INDEX('Sprint Race Results'!$B$2:$G$23,0,MATCH(D$1,'Sprint Race Results'!$B$1:$G$1,0)),0),'Points Refrence'!$D$2:$D$9,'Points Refrence'!$E$2:$E$9,0),0)</f>
        <v>8</v>
      </c>
      <c r="E10" s="4">
        <f>IFERROR(VLOOKUP(MATCH($B10,INDEX('Race Resuts'!$A$2:$W$23,0,MATCH(E$1,'Race Resuts'!$A$1:$W$1,0)),0),'Points Refrence'!$A$2:$B$11,2,FALSE),0)</f>
        <v>6</v>
      </c>
      <c r="F10" s="47">
        <f>IFERROR(VLOOKUP(MATCH($B10,INDEX('Race Resuts'!$A$2:$W$23,0,MATCH(F$1,'Race Resuts'!$A$1:$W$1,0)),0),'Points Refrence'!$A$2:$B$11,2,FALSE),0)</f>
        <v>0</v>
      </c>
      <c r="G10" s="47">
        <f>IFERROR(VLOOKUP(MATCH($B10,INDEX('Race Resuts'!$A$2:$W$23,0,MATCH(G$1,'Race Resuts'!$A$1:$W$1,0)),0),'Points Refrence'!$A$2:$B$11,2,FALSE),0)</f>
        <v>0</v>
      </c>
      <c r="H10" s="42">
        <f>IFERROR(VLOOKUP(MATCH($B10,INDEX('Race Resuts'!$B$2:$W$23,0,MATCH(H$1,'Race Resuts'!$B$1:$W$1,0)),0),'Points Refrence'!$A$2:$B$11,2,FALSE),0)+IFERROR(VLOOKUP(MATCH($B10,INDEX('Sprint Race Results'!$B$2:$G$23,0,MATCH(H$1,'Sprint Race Results'!$B$1:$G$1,0)),0),'Points Refrence'!$D$2:$E$9,2,FALSE),0)</f>
        <v>1</v>
      </c>
      <c r="I10" s="42">
        <f>IFERROR(VLOOKUP(MATCH($B10,INDEX('Race Resuts'!$B$2:$W$23,0,MATCH(I$1,'Race Resuts'!$B$1:$W$1,0)),0),'Points Refrence'!$A$2:$B$11,2,FALSE),0)+IFERROR(VLOOKUP(MATCH($B10,INDEX('Sprint Race Results'!$B$2:$G$23,0,MATCH(I$1,'Sprint Race Results'!$B$1:$G$1,0)),0),'Points Refrence'!$D$2:$E$9,2,FALSE),0)</f>
        <v>4</v>
      </c>
      <c r="J10" s="4">
        <f>IFERROR(VLOOKUP(MATCH($B10,INDEX('Race Resuts'!$A$2:$W$23,0,MATCH(J$1,'Race Resuts'!$A$1:$W$1,0)),0),'Points Refrence'!$A$2:$B$11,2,FALSE),0)</f>
        <v>15</v>
      </c>
      <c r="K10" s="4">
        <f>IFERROR(VLOOKUP(MATCH($B10,INDEX('Race Resuts'!$A$2:$W$23,0,MATCH(K$1,'Race Resuts'!$A$1:$W$1,0)),0),'Points Refrence'!$A$2:$B$11,2,FALSE),0)</f>
        <v>6</v>
      </c>
      <c r="L10" s="4">
        <f>IFERROR(VLOOKUP(MATCH($B10,INDEX('Race Resuts'!$A$2:$W$23,0,MATCH(L$1,'Race Resuts'!$A$1:$W$1,0)),0),'Points Refrence'!$A$2:$B$11,2,FALSE),0)</f>
        <v>0</v>
      </c>
      <c r="M10" s="42">
        <f>IFERROR(VLOOKUP(MATCH($B10,INDEX('Race Resuts'!$B$2:$W$23,0,MATCH(M$1,'Race Resuts'!$B$1:$W$1,0)),0),'Points Refrence'!$A$2:$B$11,2,FALSE),0)+IFERROR(VLOOKUP(MATCH($B10,INDEX('Sprint Race Results'!$B$2:$G$23,0,MATCH(M$1,'Sprint Race Results'!$B$1:$G$1,0)),0),'Points Refrence'!$D$2:$E$9,2,FALSE),0)</f>
        <v>1</v>
      </c>
      <c r="N10" s="4">
        <f>IFERROR(VLOOKUP(MATCH($B10,INDEX('Race Resuts'!$A$2:$W$23,0,MATCH(N$1,'Race Resuts'!$A$1:$W$1,0)),0),'Points Refrence'!$A$2:$B$11,2,FALSE),0)</f>
        <v>0</v>
      </c>
      <c r="O10" s="4">
        <f>IFERROR(VLOOKUP(MATCH($B10,INDEX('Race Resuts'!$A$2:$W$23,0,MATCH(O$1,'Race Resuts'!$A$1:$W$1,0)),0),'Points Refrence'!$A$2:$B$11,2,FALSE),0)</f>
        <v>0</v>
      </c>
      <c r="P10" s="42">
        <f>IFERROR(VLOOKUP(MATCH($B10,INDEX('Race Resuts'!$B$2:$W$23,0,MATCH(P$1,'Race Resuts'!$B$1:$W$1,0)),0),'Points Refrence'!$A$2:$B$11,2,FALSE),0)+IFERROR(VLOOKUP(MATCH($B10,INDEX('Sprint Race Results'!$B$2:$G$23,0,MATCH(P$1,'Sprint Race Results'!$B$1:$G$1,0)),0),'Points Refrence'!$D$2:$E$9,2,FALSE),0)</f>
        <v>0</v>
      </c>
      <c r="Q10" s="4">
        <f>IFERROR(VLOOKUP(MATCH($B10,INDEX('Race Resuts'!$A$2:$W$23,0,MATCH(Q$1,'Race Resuts'!$A$1:$W$1,0)),0),'Points Refrence'!$A$2:$B$11,2,FALSE),0)</f>
        <v>0</v>
      </c>
      <c r="R10" s="4">
        <f>IFERROR(VLOOKUP(MATCH($B10,INDEX('Race Resuts'!$A$2:$W$23,0,MATCH(R$1,'Race Resuts'!$A$1:$W$1,0)),0),'Points Refrence'!$A$2:$B$11,2,FALSE),0)</f>
        <v>0</v>
      </c>
      <c r="S10" s="4">
        <f>IFERROR(VLOOKUP(MATCH($B10,INDEX('Race Resuts'!$A$2:$W$23,0,MATCH(S$1,'Race Resuts'!$A$1:$W$1,0)),0),'Points Refrence'!$A$2:$B$11,2,FALSE),0)</f>
        <v>0</v>
      </c>
      <c r="T10" s="42">
        <f>IFERROR(VLOOKUP(MATCH($B10,INDEX('Race Resuts'!$B$2:$W$23,0,MATCH(T$1,'Race Resuts'!$B$1:$W$1,0)),0),'Points Refrence'!$A$2:$B$11,2,FALSE),0)+IFERROR(VLOOKUP(MATCH($B10,INDEX('Sprint Race Results'!$B$2:$G$23,0,MATCH(T$1,'Sprint Race Results'!$B$1:$G$1,0)),0),'Points Refrence'!$D$2:$E$9,2,FALSE),0)</f>
        <v>0</v>
      </c>
      <c r="U10" s="4">
        <f>IFERROR(VLOOKUP(MATCH($B10,INDEX('Race Resuts'!$A$2:$W$23,0,MATCH(U$1,'Race Resuts'!$A$1:$W$1,0)),0),'Points Refrence'!$A$2:$B$11,2,FALSE),0)</f>
        <v>0</v>
      </c>
      <c r="V10" s="4">
        <f>IFERROR(VLOOKUP(MATCH($B10,INDEX('Race Resuts'!$A$2:$W$23,0,MATCH(V$1,'Race Resuts'!$A$1:$W$1,0)),0),'Points Refrence'!$A$2:$B$11,2,FALSE),0)</f>
        <v>0</v>
      </c>
      <c r="W10" s="4">
        <f>IFERROR(VLOOKUP(MATCH($B10,INDEX('Race Resuts'!$A$2:$W$23,0,MATCH(W$1,'Race Resuts'!$A$1:$W$1,0)),0),'Points Refrence'!$A$2:$B$11,2,FALSE),0)</f>
        <v>0</v>
      </c>
      <c r="X10" s="4">
        <f>IFERROR(VLOOKUP(MATCH($B10,INDEX('Race Resuts'!$A$2:$W$23,0,MATCH(X$1,'Race Resuts'!$A$1:$W$1,0)),0),'Points Refrence'!$A$2:$B$11,2,FALSE),0)</f>
        <v>0</v>
      </c>
      <c r="Y10" s="4">
        <f>IFERROR(VLOOKUP(MATCH($B10,INDEX('Race Resuts'!$A$2:$W$23,0,MATCH(Y$1,'Race Resuts'!$A$1:$W$1,0)),0),'Points Refrence'!$A$2:$B$11,2,FALSE),0)</f>
        <v>0</v>
      </c>
      <c r="Z10" s="4">
        <f>IFERROR(VLOOKUP(MATCH($B10,INDEX('Race Resuts'!$A$2:$W$23,0,MATCH(Z$1,'Race Resuts'!$A$1:$W$1,0)),0),'Points Refrence'!$A$2:$B$11,2,FALSE),0)</f>
        <v>0</v>
      </c>
      <c r="AA10" s="7">
        <f>RANK(AB10,$AB$2:$AB$23,0)+COUNTIF($AB$2:AB10,AB10)-1</f>
        <v>10</v>
      </c>
      <c r="AB10" s="7">
        <f t="shared" si="0"/>
        <v>42</v>
      </c>
      <c r="AD10" s="4">
        <f t="shared" si="1"/>
        <v>9</v>
      </c>
      <c r="AE10" s="4" t="str">
        <f t="shared" si="2"/>
        <v>LAW</v>
      </c>
      <c r="AF10" s="4">
        <f t="shared" si="3"/>
        <v>43</v>
      </c>
    </row>
    <row r="11" spans="1:34" ht="21.6" x14ac:dyDescent="0.4">
      <c r="A11" s="13" t="s">
        <v>81</v>
      </c>
      <c r="B11" s="13" t="s">
        <v>50</v>
      </c>
      <c r="C11" s="4">
        <f>IFERROR(VLOOKUP(MATCH($B11,INDEX('Race Resuts'!$A$2:$W$23,0,MATCH(C$1,'Race Resuts'!$A$1:$W$1,0)),0),'Points Refrence'!$A$2:$B$11,2,FALSE),0)</f>
        <v>0</v>
      </c>
      <c r="D11" s="42">
        <f>IFERROR(_xlfn.XLOOKUP(MATCH($B11,INDEX('Race Resuts'!$B$2:$W$23,0,MATCH(D$1,'Race Resuts'!$B$1:$W$1,0)),0),'Points Refrence'!$A$2:$A$11,'Points Refrence'!$B$2:$B$11,0),0)+IFERROR(_xlfn.XLOOKUP(MATCH($B11,INDEX('Sprint Race Results'!$B$2:$G$23,0,MATCH(D$1,'Sprint Race Results'!$B$1:$G$1,0)),0),'Points Refrence'!$D$2:$D$9,'Points Refrence'!$E$2:$E$9,0),0)</f>
        <v>1</v>
      </c>
      <c r="E11" s="4">
        <f>IFERROR(VLOOKUP(MATCH($B11,INDEX('Race Resuts'!$A$2:$W$23,0,MATCH(E$1,'Race Resuts'!$A$1:$W$1,0)),0),'Points Refrence'!$A$2:$B$11,2,FALSE),0)</f>
        <v>0</v>
      </c>
      <c r="F11" s="47">
        <f>IFERROR(VLOOKUP(MATCH($B11,INDEX('Race Resuts'!$A$2:$W$23,0,MATCH(F$1,'Race Resuts'!$A$1:$W$1,0)),0),'Points Refrence'!$A$2:$B$11,2,FALSE),0)</f>
        <v>0</v>
      </c>
      <c r="G11" s="47">
        <f>IFERROR(VLOOKUP(MATCH($B11,INDEX('Race Resuts'!$A$2:$W$23,0,MATCH(G$1,'Race Resuts'!$A$1:$W$1,0)),0),'Points Refrence'!$A$2:$B$11,2,FALSE),0)</f>
        <v>0</v>
      </c>
      <c r="H11" s="42">
        <f>IFERROR(VLOOKUP(MATCH($B11,INDEX('Race Resuts'!$B$2:$W$23,0,MATCH(H$1,'Race Resuts'!$B$1:$W$1,0)),0),'Points Refrence'!$A$2:$B$11,2,FALSE),0)+IFERROR(VLOOKUP(MATCH($B11,INDEX('Sprint Race Results'!$B$2:$G$23,0,MATCH(H$1,'Sprint Race Results'!$B$1:$G$1,0)),0),'Points Refrence'!$D$2:$E$9,2,FALSE),0)</f>
        <v>6</v>
      </c>
      <c r="I11" s="42">
        <f>IFERROR(VLOOKUP(MATCH($B11,INDEX('Race Resuts'!$B$2:$W$23,0,MATCH(I$1,'Race Resuts'!$B$1:$W$1,0)),0),'Points Refrence'!$A$2:$B$11,2,FALSE),0)+IFERROR(VLOOKUP(MATCH($B11,INDEX('Sprint Race Results'!$B$2:$G$23,0,MATCH(I$1,'Sprint Race Results'!$B$1:$G$1,0)),0),'Points Refrence'!$D$2:$E$9,2,FALSE),0)</f>
        <v>8</v>
      </c>
      <c r="J11" s="4">
        <f>IFERROR(VLOOKUP(MATCH($B11,INDEX('Race Resuts'!$A$2:$W$23,0,MATCH(J$1,'Race Resuts'!$A$1:$W$1,0)),0),'Points Refrence'!$A$2:$B$11,2,FALSE),0)</f>
        <v>0</v>
      </c>
      <c r="K11" s="4">
        <f>IFERROR(VLOOKUP(MATCH($B11,INDEX('Race Resuts'!$A$2:$W$23,0,MATCH(K$1,'Race Resuts'!$A$1:$W$1,0)),0),'Points Refrence'!$A$2:$B$11,2,FALSE),0)</f>
        <v>1</v>
      </c>
      <c r="L11" s="4">
        <f>IFERROR(VLOOKUP(MATCH($B11,INDEX('Race Resuts'!$A$2:$W$23,0,MATCH(L$1,'Race Resuts'!$A$1:$W$1,0)),0),'Points Refrence'!$A$2:$B$11,2,FALSE),0)</f>
        <v>0</v>
      </c>
      <c r="M11" s="42">
        <f>IFERROR(VLOOKUP(MATCH($B11,INDEX('Race Resuts'!$B$2:$W$23,0,MATCH(M$1,'Race Resuts'!$B$1:$W$1,0)),0),'Points Refrence'!$A$2:$B$11,2,FALSE),0)+IFERROR(VLOOKUP(MATCH($B11,INDEX('Sprint Race Results'!$B$2:$G$23,0,MATCH(M$1,'Sprint Race Results'!$B$1:$G$1,0)),0),'Points Refrence'!$D$2:$E$9,2,FALSE),0)</f>
        <v>2</v>
      </c>
      <c r="N11" s="4">
        <f>IFERROR(VLOOKUP(MATCH($B11,INDEX('Race Resuts'!$A$2:$W$23,0,MATCH(N$1,'Race Resuts'!$A$1:$W$1,0)),0),'Points Refrence'!$A$2:$B$11,2,FALSE),0)</f>
        <v>1</v>
      </c>
      <c r="O11" s="4">
        <f>IFERROR(VLOOKUP(MATCH($B11,INDEX('Race Resuts'!$A$2:$W$23,0,MATCH(O$1,'Race Resuts'!$A$1:$W$1,0)),0),'Points Refrence'!$A$2:$B$11,2,FALSE),0)</f>
        <v>0</v>
      </c>
      <c r="P11" s="42">
        <f>IFERROR(VLOOKUP(MATCH($B11,INDEX('Race Resuts'!$B$2:$W$23,0,MATCH(P$1,'Race Resuts'!$B$1:$W$1,0)),0),'Points Refrence'!$A$2:$B$11,2,FALSE),0)+IFERROR(VLOOKUP(MATCH($B11,INDEX('Sprint Race Results'!$B$2:$G$23,0,MATCH(P$1,'Sprint Race Results'!$B$1:$G$1,0)),0),'Points Refrence'!$D$2:$E$9,2,FALSE),0)</f>
        <v>0</v>
      </c>
      <c r="Q11" s="4">
        <f>IFERROR(VLOOKUP(MATCH($B11,INDEX('Race Resuts'!$A$2:$W$23,0,MATCH(Q$1,'Race Resuts'!$A$1:$W$1,0)),0),'Points Refrence'!$A$2:$B$11,2,FALSE),0)</f>
        <v>0</v>
      </c>
      <c r="R11" s="4">
        <f>IFERROR(VLOOKUP(MATCH($B11,INDEX('Race Resuts'!$A$2:$W$23,0,MATCH(R$1,'Race Resuts'!$A$1:$W$1,0)),0),'Points Refrence'!$A$2:$B$11,2,FALSE),0)</f>
        <v>0</v>
      </c>
      <c r="S11" s="4">
        <f>IFERROR(VLOOKUP(MATCH($B11,INDEX('Race Resuts'!$A$2:$W$23,0,MATCH(S$1,'Race Resuts'!$A$1:$W$1,0)),0),'Points Refrence'!$A$2:$B$11,2,FALSE),0)</f>
        <v>0</v>
      </c>
      <c r="T11" s="42">
        <f>IFERROR(VLOOKUP(MATCH($B11,INDEX('Race Resuts'!$B$2:$W$23,0,MATCH(T$1,'Race Resuts'!$B$1:$W$1,0)),0),'Points Refrence'!$A$2:$B$11,2,FALSE),0)+IFERROR(VLOOKUP(MATCH($B11,INDEX('Sprint Race Results'!$B$2:$G$23,0,MATCH(T$1,'Sprint Race Results'!$B$1:$G$1,0)),0),'Points Refrence'!$D$2:$E$9,2,FALSE),0)</f>
        <v>0</v>
      </c>
      <c r="U11" s="4">
        <f>IFERROR(VLOOKUP(MATCH($B11,INDEX('Race Resuts'!$A$2:$W$23,0,MATCH(U$1,'Race Resuts'!$A$1:$W$1,0)),0),'Points Refrence'!$A$2:$B$11,2,FALSE),0)</f>
        <v>0</v>
      </c>
      <c r="V11" s="4">
        <f>IFERROR(VLOOKUP(MATCH($B11,INDEX('Race Resuts'!$A$2:$W$23,0,MATCH(V$1,'Race Resuts'!$A$1:$W$1,0)),0),'Points Refrence'!$A$2:$B$11,2,FALSE),0)</f>
        <v>0</v>
      </c>
      <c r="W11" s="4">
        <f>IFERROR(VLOOKUP(MATCH($B11,INDEX('Race Resuts'!$A$2:$W$23,0,MATCH(W$1,'Race Resuts'!$A$1:$W$1,0)),0),'Points Refrence'!$A$2:$B$11,2,FALSE),0)</f>
        <v>0</v>
      </c>
      <c r="X11" s="4">
        <f>IFERROR(VLOOKUP(MATCH($B11,INDEX('Race Resuts'!$A$2:$W$23,0,MATCH(X$1,'Race Resuts'!$A$1:$W$1,0)),0),'Points Refrence'!$A$2:$B$11,2,FALSE),0)</f>
        <v>0</v>
      </c>
      <c r="Y11" s="4">
        <f>IFERROR(VLOOKUP(MATCH($B11,INDEX('Race Resuts'!$A$2:$W$23,0,MATCH(Y$1,'Race Resuts'!$A$1:$W$1,0)),0),'Points Refrence'!$A$2:$B$11,2,FALSE),0)</f>
        <v>0</v>
      </c>
      <c r="Z11" s="4">
        <f>IFERROR(VLOOKUP(MATCH($B11,INDEX('Race Resuts'!$A$2:$W$23,0,MATCH(Z$1,'Race Resuts'!$A$1:$W$1,0)),0),'Points Refrence'!$A$2:$B$11,2,FALSE),0)</f>
        <v>0</v>
      </c>
      <c r="AA11" s="7">
        <f>RANK(AB11,$AB$2:$AB$23,0)+COUNTIF($AB$2:AB11,AB11)-1</f>
        <v>12</v>
      </c>
      <c r="AB11" s="7">
        <f t="shared" si="0"/>
        <v>19</v>
      </c>
      <c r="AD11" s="4">
        <f t="shared" si="1"/>
        <v>10</v>
      </c>
      <c r="AE11" s="4" t="str">
        <f t="shared" si="2"/>
        <v>GAS</v>
      </c>
      <c r="AF11" s="4">
        <f t="shared" si="3"/>
        <v>42</v>
      </c>
    </row>
    <row r="12" spans="1:34" ht="21.6" x14ac:dyDescent="0.4">
      <c r="A12" s="14" t="s">
        <v>82</v>
      </c>
      <c r="B12" s="14" t="s">
        <v>48</v>
      </c>
      <c r="C12" s="4">
        <f>IFERROR(VLOOKUP(MATCH($B12,INDEX('Race Resuts'!$A$2:$W$23,0,MATCH(C$1,'Race Resuts'!$A$1:$W$1,0)),0),'Points Refrence'!$A$2:$B$11,2,FALSE),0)</f>
        <v>4</v>
      </c>
      <c r="D12" s="42">
        <f>IFERROR(_xlfn.XLOOKUP(MATCH($B12,INDEX('Race Resuts'!$B$2:$W$23,0,MATCH(D$1,'Race Resuts'!$B$1:$W$1,0)),0),'Points Refrence'!$A$2:$A$11,'Points Refrence'!$B$2:$B$11,0),0)+IFERROR(_xlfn.XLOOKUP(MATCH($B12,INDEX('Sprint Race Results'!$B$2:$G$23,0,MATCH(D$1,'Sprint Race Results'!$B$1:$G$1,0)),0),'Points Refrence'!$D$2:$D$9,'Points Refrence'!$E$2:$E$9,0),0)</f>
        <v>0</v>
      </c>
      <c r="E12" s="4">
        <f>IFERROR(VLOOKUP(MATCH($B12,INDEX('Race Resuts'!$A$2:$W$23,0,MATCH(E$1,'Race Resuts'!$A$1:$W$1,0)),0),'Points Refrence'!$A$2:$B$11,2,FALSE),0)</f>
        <v>0</v>
      </c>
      <c r="F12" s="47">
        <f>IFERROR(VLOOKUP(MATCH($B12,INDEX('Race Resuts'!$A$2:$W$23,0,MATCH(F$1,'Race Resuts'!$A$1:$W$1,0)),0),'Points Refrence'!$A$2:$B$11,2,FALSE),0)</f>
        <v>0</v>
      </c>
      <c r="G12" s="47">
        <f>IFERROR(VLOOKUP(MATCH($B12,INDEX('Race Resuts'!$A$2:$W$23,0,MATCH(G$1,'Race Resuts'!$A$1:$W$1,0)),0),'Points Refrence'!$A$2:$B$11,2,FALSE),0)</f>
        <v>0</v>
      </c>
      <c r="H12" s="42">
        <f>IFERROR(VLOOKUP(MATCH($B12,INDEX('Race Resuts'!$B$2:$W$23,0,MATCH(H$1,'Race Resuts'!$B$1:$W$1,0)),0),'Points Refrence'!$A$2:$B$11,2,FALSE),0)+IFERROR(VLOOKUP(MATCH($B12,INDEX('Sprint Race Results'!$B$2:$G$23,0,MATCH(H$1,'Sprint Race Results'!$B$1:$G$1,0)),0),'Points Refrence'!$D$2:$E$9,2,FALSE),0)</f>
        <v>0</v>
      </c>
      <c r="I12" s="42">
        <f>IFERROR(VLOOKUP(MATCH($B12,INDEX('Race Resuts'!$B$2:$W$23,0,MATCH(I$1,'Race Resuts'!$B$1:$W$1,0)),0),'Points Refrence'!$A$2:$B$11,2,FALSE),0)+IFERROR(VLOOKUP(MATCH($B12,INDEX('Sprint Race Results'!$B$2:$G$23,0,MATCH(I$1,'Sprint Race Results'!$B$1:$G$1,0)),0),'Points Refrence'!$D$2:$E$9,2,FALSE),0)</f>
        <v>1</v>
      </c>
      <c r="J12" s="4">
        <f>IFERROR(VLOOKUP(MATCH($B12,INDEX('Race Resuts'!$A$2:$W$23,0,MATCH(J$1,'Race Resuts'!$A$1:$W$1,0)),0),'Points Refrence'!$A$2:$B$11,2,FALSE),0)</f>
        <v>6</v>
      </c>
      <c r="K12" s="4">
        <f>IFERROR(VLOOKUP(MATCH($B12,INDEX('Race Resuts'!$A$2:$W$23,0,MATCH(K$1,'Race Resuts'!$A$1:$W$1,0)),0),'Points Refrence'!$A$2:$B$11,2,FALSE),0)</f>
        <v>2</v>
      </c>
      <c r="L12" s="4">
        <f>IFERROR(VLOOKUP(MATCH($B12,INDEX('Race Resuts'!$A$2:$W$23,0,MATCH(L$1,'Race Resuts'!$A$1:$W$1,0)),0),'Points Refrence'!$A$2:$B$11,2,FALSE),0)</f>
        <v>1</v>
      </c>
      <c r="M12" s="42">
        <f>IFERROR(VLOOKUP(MATCH($B12,INDEX('Race Resuts'!$B$2:$W$23,0,MATCH(M$1,'Race Resuts'!$B$1:$W$1,0)),0),'Points Refrence'!$A$2:$B$11,2,FALSE),0)+IFERROR(VLOOKUP(MATCH($B12,INDEX('Sprint Race Results'!$B$2:$G$23,0,MATCH(M$1,'Sprint Race Results'!$B$1:$G$1,0)),0),'Points Refrence'!$D$2:$E$9,2,FALSE),0)</f>
        <v>6</v>
      </c>
      <c r="N12" s="4">
        <f>IFERROR(VLOOKUP(MATCH($B12,INDEX('Race Resuts'!$A$2:$W$23,0,MATCH(N$1,'Race Resuts'!$A$1:$W$1,0)),0),'Points Refrence'!$A$2:$B$11,2,FALSE),0)</f>
        <v>2</v>
      </c>
      <c r="O12" s="4">
        <f>IFERROR(VLOOKUP(MATCH($B12,INDEX('Race Resuts'!$A$2:$W$23,0,MATCH(O$1,'Race Resuts'!$A$1:$W$1,0)),0),'Points Refrence'!$A$2:$B$11,2,FALSE),0)</f>
        <v>1</v>
      </c>
      <c r="P12" s="42">
        <f>IFERROR(VLOOKUP(MATCH($B12,INDEX('Race Resuts'!$B$2:$W$23,0,MATCH(P$1,'Race Resuts'!$B$1:$W$1,0)),0),'Points Refrence'!$A$2:$B$11,2,FALSE),0)+IFERROR(VLOOKUP(MATCH($B12,INDEX('Sprint Race Results'!$B$2:$G$23,0,MATCH(P$1,'Sprint Race Results'!$B$1:$G$1,0)),0),'Points Refrence'!$D$2:$E$9,2,FALSE),0)</f>
        <v>0</v>
      </c>
      <c r="Q12" s="4">
        <f>IFERROR(VLOOKUP(MATCH($B12,INDEX('Race Resuts'!$A$2:$W$23,0,MATCH(Q$1,'Race Resuts'!$A$1:$W$1,0)),0),'Points Refrence'!$A$2:$B$11,2,FALSE),0)</f>
        <v>0</v>
      </c>
      <c r="R12" s="4">
        <f>IFERROR(VLOOKUP(MATCH($B12,INDEX('Race Resuts'!$A$2:$W$23,0,MATCH(R$1,'Race Resuts'!$A$1:$W$1,0)),0),'Points Refrence'!$A$2:$B$11,2,FALSE),0)</f>
        <v>0</v>
      </c>
      <c r="S12" s="4">
        <f>IFERROR(VLOOKUP(MATCH($B12,INDEX('Race Resuts'!$A$2:$W$23,0,MATCH(S$1,'Race Resuts'!$A$1:$W$1,0)),0),'Points Refrence'!$A$2:$B$11,2,FALSE),0)</f>
        <v>0</v>
      </c>
      <c r="T12" s="42">
        <f>IFERROR(VLOOKUP(MATCH($B12,INDEX('Race Resuts'!$B$2:$W$23,0,MATCH(T$1,'Race Resuts'!$B$1:$W$1,0)),0),'Points Refrence'!$A$2:$B$11,2,FALSE),0)+IFERROR(VLOOKUP(MATCH($B12,INDEX('Sprint Race Results'!$B$2:$G$23,0,MATCH(T$1,'Sprint Race Results'!$B$1:$G$1,0)),0),'Points Refrence'!$D$2:$E$9,2,FALSE),0)</f>
        <v>0</v>
      </c>
      <c r="U12" s="4">
        <f>IFERROR(VLOOKUP(MATCH($B12,INDEX('Race Resuts'!$A$2:$W$23,0,MATCH(U$1,'Race Resuts'!$A$1:$W$1,0)),0),'Points Refrence'!$A$2:$B$11,2,FALSE),0)</f>
        <v>0</v>
      </c>
      <c r="V12" s="4">
        <f>IFERROR(VLOOKUP(MATCH($B12,INDEX('Race Resuts'!$A$2:$W$23,0,MATCH(V$1,'Race Resuts'!$A$1:$W$1,0)),0),'Points Refrence'!$A$2:$B$11,2,FALSE),0)</f>
        <v>0</v>
      </c>
      <c r="W12" s="4">
        <f>IFERROR(VLOOKUP(MATCH($B12,INDEX('Race Resuts'!$A$2:$W$23,0,MATCH(W$1,'Race Resuts'!$A$1:$W$1,0)),0),'Points Refrence'!$A$2:$B$11,2,FALSE),0)</f>
        <v>0</v>
      </c>
      <c r="X12" s="4">
        <f>IFERROR(VLOOKUP(MATCH($B12,INDEX('Race Resuts'!$A$2:$W$23,0,MATCH(X$1,'Race Resuts'!$A$1:$W$1,0)),0),'Points Refrence'!$A$2:$B$11,2,FALSE),0)</f>
        <v>0</v>
      </c>
      <c r="Y12" s="4">
        <f>IFERROR(VLOOKUP(MATCH($B12,INDEX('Race Resuts'!$A$2:$W$23,0,MATCH(Y$1,'Race Resuts'!$A$1:$W$1,0)),0),'Points Refrence'!$A$2:$B$11,2,FALSE),0)</f>
        <v>0</v>
      </c>
      <c r="Z12" s="4">
        <f>IFERROR(VLOOKUP(MATCH($B12,INDEX('Race Resuts'!$A$2:$W$23,0,MATCH(Z$1,'Race Resuts'!$A$1:$W$1,0)),0),'Points Refrence'!$A$2:$B$11,2,FALSE),0)</f>
        <v>0</v>
      </c>
      <c r="AA12" s="7">
        <f>RANK(AB12,$AB$2:$AB$23,0)+COUNTIF($AB$2:AB12,AB12)-1</f>
        <v>11</v>
      </c>
      <c r="AB12" s="7">
        <f t="shared" si="0"/>
        <v>23</v>
      </c>
      <c r="AD12" s="4">
        <f t="shared" si="1"/>
        <v>11</v>
      </c>
      <c r="AE12" s="4" t="str">
        <f t="shared" si="2"/>
        <v>LIN</v>
      </c>
      <c r="AF12" s="4">
        <f t="shared" si="3"/>
        <v>23</v>
      </c>
    </row>
    <row r="13" spans="1:34" ht="21.6" x14ac:dyDescent="0.4">
      <c r="A13" s="14" t="s">
        <v>83</v>
      </c>
      <c r="B13" s="14" t="s">
        <v>47</v>
      </c>
      <c r="C13" s="4">
        <f>IFERROR(VLOOKUP(MATCH($B13,INDEX('Race Resuts'!$A$2:$W$23,0,MATCH(C$1,'Race Resuts'!$A$1:$W$1,0)),0),'Points Refrence'!$A$2:$B$11,2,FALSE),0)</f>
        <v>0</v>
      </c>
      <c r="D13" s="42">
        <f>IFERROR(_xlfn.XLOOKUP(MATCH($B13,INDEX('Race Resuts'!$B$2:$W$23,0,MATCH(D$1,'Race Resuts'!$B$1:$W$1,0)),0),'Points Refrence'!$A$2:$A$11,'Points Refrence'!$B$2:$B$11,0),0)+IFERROR(_xlfn.XLOOKUP(MATCH($B13,INDEX('Sprint Race Results'!$B$2:$G$23,0,MATCH(D$1,'Sprint Race Results'!$B$1:$G$1,0)),0),'Points Refrence'!$D$2:$D$9,'Points Refrence'!$E$2:$E$9,0),0)</f>
        <v>8</v>
      </c>
      <c r="E13" s="4">
        <f>IFERROR(VLOOKUP(MATCH($B13,INDEX('Race Resuts'!$A$2:$W$23,0,MATCH(E$1,'Race Resuts'!$A$1:$W$1,0)),0),'Points Refrence'!$A$2:$B$11,2,FALSE),0)</f>
        <v>2</v>
      </c>
      <c r="F13" s="47">
        <f>IFERROR(VLOOKUP(MATCH($B13,INDEX('Race Resuts'!$A$2:$W$23,0,MATCH(F$1,'Race Resuts'!$A$1:$W$1,0)),0),'Points Refrence'!$A$2:$B$11,2,FALSE),0)</f>
        <v>0</v>
      </c>
      <c r="G13" s="47">
        <f>IFERROR(VLOOKUP(MATCH($B13,INDEX('Race Resuts'!$A$2:$W$23,0,MATCH(G$1,'Race Resuts'!$A$1:$W$1,0)),0),'Points Refrence'!$A$2:$B$11,2,FALSE),0)</f>
        <v>0</v>
      </c>
      <c r="H13" s="42">
        <f>IFERROR(VLOOKUP(MATCH($B13,INDEX('Race Resuts'!$B$2:$W$23,0,MATCH(H$1,'Race Resuts'!$B$1:$W$1,0)),0),'Points Refrence'!$A$2:$B$11,2,FALSE),0)+IFERROR(VLOOKUP(MATCH($B13,INDEX('Sprint Race Results'!$B$2:$G$23,0,MATCH(H$1,'Sprint Race Results'!$B$1:$G$1,0)),0),'Points Refrence'!$D$2:$E$9,2,FALSE),0)</f>
        <v>0</v>
      </c>
      <c r="I13" s="42">
        <f>IFERROR(VLOOKUP(MATCH($B13,INDEX('Race Resuts'!$B$2:$W$23,0,MATCH(I$1,'Race Resuts'!$B$1:$W$1,0)),0),'Points Refrence'!$A$2:$B$11,2,FALSE),0)+IFERROR(VLOOKUP(MATCH($B13,INDEX('Sprint Race Results'!$B$2:$G$23,0,MATCH(I$1,'Sprint Race Results'!$B$1:$G$1,0)),0),'Points Refrence'!$D$2:$E$9,2,FALSE),0)</f>
        <v>6</v>
      </c>
      <c r="J13" s="4">
        <f>IFERROR(VLOOKUP(MATCH($B13,INDEX('Race Resuts'!$A$2:$W$23,0,MATCH(J$1,'Race Resuts'!$A$1:$W$1,0)),0),'Points Refrence'!$A$2:$B$11,2,FALSE),0)</f>
        <v>8</v>
      </c>
      <c r="K13" s="4">
        <f>IFERROR(VLOOKUP(MATCH($B13,INDEX('Race Resuts'!$A$2:$W$23,0,MATCH(K$1,'Race Resuts'!$A$1:$W$1,0)),0),'Points Refrence'!$A$2:$B$11,2,FALSE),0)</f>
        <v>4</v>
      </c>
      <c r="L13" s="4">
        <f>IFERROR(VLOOKUP(MATCH($B13,INDEX('Race Resuts'!$A$2:$W$23,0,MATCH(L$1,'Race Resuts'!$A$1:$W$1,0)),0),'Points Refrence'!$A$2:$B$11,2,FALSE),0)</f>
        <v>2</v>
      </c>
      <c r="M13" s="42">
        <f>IFERROR(VLOOKUP(MATCH($B13,INDEX('Race Resuts'!$B$2:$W$23,0,MATCH(M$1,'Race Resuts'!$B$1:$W$1,0)),0),'Points Refrence'!$A$2:$B$11,2,FALSE),0)+IFERROR(VLOOKUP(MATCH($B13,INDEX('Sprint Race Results'!$B$2:$G$23,0,MATCH(M$1,'Sprint Race Results'!$B$1:$G$1,0)),0),'Points Refrence'!$D$2:$E$9,2,FALSE),0)</f>
        <v>9</v>
      </c>
      <c r="N13" s="4">
        <f>IFERROR(VLOOKUP(MATCH($B13,INDEX('Race Resuts'!$A$2:$W$23,0,MATCH(N$1,'Race Resuts'!$A$1:$W$1,0)),0),'Points Refrence'!$A$2:$B$11,2,FALSE),0)</f>
        <v>0</v>
      </c>
      <c r="O13" s="4">
        <f>IFERROR(VLOOKUP(MATCH($B13,INDEX('Race Resuts'!$A$2:$W$23,0,MATCH(O$1,'Race Resuts'!$A$1:$W$1,0)),0),'Points Refrence'!$A$2:$B$11,2,FALSE),0)</f>
        <v>4</v>
      </c>
      <c r="P13" s="42">
        <f>IFERROR(VLOOKUP(MATCH($B13,INDEX('Race Resuts'!$B$2:$W$23,0,MATCH(P$1,'Race Resuts'!$B$1:$W$1,0)),0),'Points Refrence'!$A$2:$B$11,2,FALSE),0)+IFERROR(VLOOKUP(MATCH($B13,INDEX('Sprint Race Results'!$B$2:$G$23,0,MATCH(P$1,'Sprint Race Results'!$B$1:$G$1,0)),0),'Points Refrence'!$D$2:$E$9,2,FALSE),0)</f>
        <v>0</v>
      </c>
      <c r="Q13" s="4">
        <f>IFERROR(VLOOKUP(MATCH($B13,INDEX('Race Resuts'!$A$2:$W$23,0,MATCH(Q$1,'Race Resuts'!$A$1:$W$1,0)),0),'Points Refrence'!$A$2:$B$11,2,FALSE),0)</f>
        <v>0</v>
      </c>
      <c r="R13" s="4">
        <f>IFERROR(VLOOKUP(MATCH($B13,INDEX('Race Resuts'!$A$2:$W$23,0,MATCH(R$1,'Race Resuts'!$A$1:$W$1,0)),0),'Points Refrence'!$A$2:$B$11,2,FALSE),0)</f>
        <v>0</v>
      </c>
      <c r="S13" s="4">
        <f>IFERROR(VLOOKUP(MATCH($B13,INDEX('Race Resuts'!$A$2:$W$23,0,MATCH(S$1,'Race Resuts'!$A$1:$W$1,0)),0),'Points Refrence'!$A$2:$B$11,2,FALSE),0)</f>
        <v>0</v>
      </c>
      <c r="T13" s="42">
        <f>IFERROR(VLOOKUP(MATCH($B13,INDEX('Race Resuts'!$B$2:$W$23,0,MATCH(T$1,'Race Resuts'!$B$1:$W$1,0)),0),'Points Refrence'!$A$2:$B$11,2,FALSE),0)+IFERROR(VLOOKUP(MATCH($B13,INDEX('Sprint Race Results'!$B$2:$G$23,0,MATCH(T$1,'Sprint Race Results'!$B$1:$G$1,0)),0),'Points Refrence'!$D$2:$E$9,2,FALSE),0)</f>
        <v>0</v>
      </c>
      <c r="U13" s="4">
        <f>IFERROR(VLOOKUP(MATCH($B13,INDEX('Race Resuts'!$A$2:$W$23,0,MATCH(U$1,'Race Resuts'!$A$1:$W$1,0)),0),'Points Refrence'!$A$2:$B$11,2,FALSE),0)</f>
        <v>0</v>
      </c>
      <c r="V13" s="4">
        <f>IFERROR(VLOOKUP(MATCH($B13,INDEX('Race Resuts'!$A$2:$W$23,0,MATCH(V$1,'Race Resuts'!$A$1:$W$1,0)),0),'Points Refrence'!$A$2:$B$11,2,FALSE),0)</f>
        <v>0</v>
      </c>
      <c r="W13" s="4">
        <f>IFERROR(VLOOKUP(MATCH($B13,INDEX('Race Resuts'!$A$2:$W$23,0,MATCH(W$1,'Race Resuts'!$A$1:$W$1,0)),0),'Points Refrence'!$A$2:$B$11,2,FALSE),0)</f>
        <v>0</v>
      </c>
      <c r="X13" s="4">
        <f>IFERROR(VLOOKUP(MATCH($B13,INDEX('Race Resuts'!$A$2:$W$23,0,MATCH(X$1,'Race Resuts'!$A$1:$W$1,0)),0),'Points Refrence'!$A$2:$B$11,2,FALSE),0)</f>
        <v>0</v>
      </c>
      <c r="Y13" s="4">
        <f>IFERROR(VLOOKUP(MATCH($B13,INDEX('Race Resuts'!$A$2:$W$23,0,MATCH(Y$1,'Race Resuts'!$A$1:$W$1,0)),0),'Points Refrence'!$A$2:$B$11,2,FALSE),0)</f>
        <v>0</v>
      </c>
      <c r="Z13" s="4">
        <f>IFERROR(VLOOKUP(MATCH($B13,INDEX('Race Resuts'!$A$2:$W$23,0,MATCH(Z$1,'Race Resuts'!$A$1:$W$1,0)),0),'Points Refrence'!$A$2:$B$11,2,FALSE),0)</f>
        <v>0</v>
      </c>
      <c r="AA13" s="7">
        <f>RANK(AB13,$AB$2:$AB$23,0)+COUNTIF($AB$2:AB13,AB13)-1</f>
        <v>9</v>
      </c>
      <c r="AB13" s="7">
        <f t="shared" si="0"/>
        <v>43</v>
      </c>
      <c r="AD13" s="4">
        <f t="shared" si="1"/>
        <v>12</v>
      </c>
      <c r="AE13" s="4" t="str">
        <f t="shared" si="2"/>
        <v>COL</v>
      </c>
      <c r="AF13" s="4">
        <f t="shared" si="3"/>
        <v>19</v>
      </c>
    </row>
    <row r="14" spans="1:34" ht="21.6" x14ac:dyDescent="0.4">
      <c r="A14" s="17" t="s">
        <v>84</v>
      </c>
      <c r="B14" s="17" t="s">
        <v>53</v>
      </c>
      <c r="C14" s="4">
        <f>IFERROR(VLOOKUP(MATCH($B14,INDEX('Race Resuts'!$A$2:$W$23,0,MATCH(C$1,'Race Resuts'!$A$1:$W$1,0)),0),'Points Refrence'!$A$2:$B$11,2,FALSE),0)</f>
        <v>6</v>
      </c>
      <c r="D14" s="42">
        <f>IFERROR(_xlfn.XLOOKUP(MATCH($B14,INDEX('Race Resuts'!$B$2:$W$23,0,MATCH(D$1,'Race Resuts'!$B$1:$W$1,0)),0),'Points Refrence'!$A$2:$A$11,'Points Refrence'!$B$2:$B$11,0),0)+IFERROR(_xlfn.XLOOKUP(MATCH($B14,INDEX('Sprint Race Results'!$B$2:$G$23,0,MATCH(D$1,'Sprint Race Results'!$B$1:$G$1,0)),0),'Points Refrence'!$D$2:$D$9,'Points Refrence'!$E$2:$E$9,0),0)</f>
        <v>11</v>
      </c>
      <c r="E14" s="4">
        <f>IFERROR(VLOOKUP(MATCH($B14,INDEX('Race Resuts'!$A$2:$W$23,0,MATCH(E$1,'Race Resuts'!$A$1:$W$1,0)),0),'Points Refrence'!$A$2:$B$11,2,FALSE),0)</f>
        <v>0</v>
      </c>
      <c r="F14" s="47">
        <f>IFERROR(VLOOKUP(MATCH($B14,INDEX('Race Resuts'!$A$2:$W$23,0,MATCH(F$1,'Race Resuts'!$A$1:$W$1,0)),0),'Points Refrence'!$A$2:$B$11,2,FALSE),0)</f>
        <v>0</v>
      </c>
      <c r="G14" s="47">
        <f>IFERROR(VLOOKUP(MATCH($B14,INDEX('Race Resuts'!$A$2:$W$23,0,MATCH(G$1,'Race Resuts'!$A$1:$W$1,0)),0),'Points Refrence'!$A$2:$B$11,2,FALSE),0)</f>
        <v>0</v>
      </c>
      <c r="H14" s="42">
        <f>IFERROR(VLOOKUP(MATCH($B14,INDEX('Race Resuts'!$B$2:$W$23,0,MATCH(H$1,'Race Resuts'!$B$1:$W$1,0)),0),'Points Refrence'!$A$2:$B$11,2,FALSE),0)+IFERROR(VLOOKUP(MATCH($B14,INDEX('Sprint Race Results'!$B$2:$G$23,0,MATCH(H$1,'Sprint Race Results'!$B$1:$G$1,0)),0),'Points Refrence'!$D$2:$E$9,2,FALSE),0)</f>
        <v>0</v>
      </c>
      <c r="I14" s="42">
        <f>IFERROR(VLOOKUP(MATCH($B14,INDEX('Race Resuts'!$B$2:$W$23,0,MATCH(I$1,'Race Resuts'!$B$1:$W$1,0)),0),'Points Refrence'!$A$2:$B$11,2,FALSE),0)+IFERROR(VLOOKUP(MATCH($B14,INDEX('Sprint Race Results'!$B$2:$G$23,0,MATCH(I$1,'Sprint Race Results'!$B$1:$G$1,0)),0),'Points Refrence'!$D$2:$E$9,2,FALSE),0)</f>
        <v>1</v>
      </c>
      <c r="J14" s="4">
        <f>IFERROR(VLOOKUP(MATCH($B14,INDEX('Race Resuts'!$A$2:$W$23,0,MATCH(J$1,'Race Resuts'!$A$1:$W$1,0)),0),'Points Refrence'!$A$2:$B$11,2,FALSE),0)</f>
        <v>0</v>
      </c>
      <c r="K14" s="4">
        <f>IFERROR(VLOOKUP(MATCH($B14,INDEX('Race Resuts'!$A$2:$W$23,0,MATCH(K$1,'Race Resuts'!$A$1:$W$1,0)),0),'Points Refrence'!$A$2:$B$11,2,FALSE),0)</f>
        <v>0</v>
      </c>
      <c r="L14" s="4">
        <f>IFERROR(VLOOKUP(MATCH($B14,INDEX('Race Resuts'!$A$2:$W$23,0,MATCH(L$1,'Race Resuts'!$A$1:$W$1,0)),0),'Points Refrence'!$A$2:$B$11,2,FALSE),0)</f>
        <v>0</v>
      </c>
      <c r="M14" s="42">
        <f>IFERROR(VLOOKUP(MATCH($B14,INDEX('Race Resuts'!$B$2:$W$23,0,MATCH(M$1,'Race Resuts'!$B$1:$W$1,0)),0),'Points Refrence'!$A$2:$B$11,2,FALSE),0)+IFERROR(VLOOKUP(MATCH($B14,INDEX('Sprint Race Results'!$B$2:$G$23,0,MATCH(M$1,'Sprint Race Results'!$B$1:$G$1,0)),0),'Points Refrence'!$D$2:$E$9,2,FALSE),0)</f>
        <v>0</v>
      </c>
      <c r="N14" s="4">
        <f>IFERROR(VLOOKUP(MATCH($B14,INDEX('Race Resuts'!$A$2:$W$23,0,MATCH(N$1,'Race Resuts'!$A$1:$W$1,0)),0),'Points Refrence'!$A$2:$B$11,2,FALSE),0)</f>
        <v>0</v>
      </c>
      <c r="O14" s="4">
        <f>IFERROR(VLOOKUP(MATCH($B14,INDEX('Race Resuts'!$A$2:$W$23,0,MATCH(O$1,'Race Resuts'!$A$1:$W$1,0)),0),'Points Refrence'!$A$2:$B$11,2,FALSE),0)</f>
        <v>0</v>
      </c>
      <c r="P14" s="42">
        <f>IFERROR(VLOOKUP(MATCH($B14,INDEX('Race Resuts'!$B$2:$W$23,0,MATCH(P$1,'Race Resuts'!$B$1:$W$1,0)),0),'Points Refrence'!$A$2:$B$11,2,FALSE),0)+IFERROR(VLOOKUP(MATCH($B14,INDEX('Sprint Race Results'!$B$2:$G$23,0,MATCH(P$1,'Sprint Race Results'!$B$1:$G$1,0)),0),'Points Refrence'!$D$2:$E$9,2,FALSE),0)</f>
        <v>0</v>
      </c>
      <c r="Q14" s="4">
        <f>IFERROR(VLOOKUP(MATCH($B14,INDEX('Race Resuts'!$A$2:$W$23,0,MATCH(Q$1,'Race Resuts'!$A$1:$W$1,0)),0),'Points Refrence'!$A$2:$B$11,2,FALSE),0)</f>
        <v>0</v>
      </c>
      <c r="R14" s="4">
        <f>IFERROR(VLOOKUP(MATCH($B14,INDEX('Race Resuts'!$A$2:$W$23,0,MATCH(R$1,'Race Resuts'!$A$1:$W$1,0)),0),'Points Refrence'!$A$2:$B$11,2,FALSE),0)</f>
        <v>0</v>
      </c>
      <c r="S14" s="4">
        <f>IFERROR(VLOOKUP(MATCH($B14,INDEX('Race Resuts'!$A$2:$W$23,0,MATCH(S$1,'Race Resuts'!$A$1:$W$1,0)),0),'Points Refrence'!$A$2:$B$11,2,FALSE),0)</f>
        <v>0</v>
      </c>
      <c r="T14" s="42">
        <f>IFERROR(VLOOKUP(MATCH($B14,INDEX('Race Resuts'!$B$2:$W$23,0,MATCH(T$1,'Race Resuts'!$B$1:$W$1,0)),0),'Points Refrence'!$A$2:$B$11,2,FALSE),0)+IFERROR(VLOOKUP(MATCH($B14,INDEX('Sprint Race Results'!$B$2:$G$23,0,MATCH(T$1,'Sprint Race Results'!$B$1:$G$1,0)),0),'Points Refrence'!$D$2:$E$9,2,FALSE),0)</f>
        <v>0</v>
      </c>
      <c r="U14" s="4">
        <f>IFERROR(VLOOKUP(MATCH($B14,INDEX('Race Resuts'!$A$2:$W$23,0,MATCH(U$1,'Race Resuts'!$A$1:$W$1,0)),0),'Points Refrence'!$A$2:$B$11,2,FALSE),0)</f>
        <v>0</v>
      </c>
      <c r="V14" s="4">
        <f>IFERROR(VLOOKUP(MATCH($B14,INDEX('Race Resuts'!$A$2:$W$23,0,MATCH(V$1,'Race Resuts'!$A$1:$W$1,0)),0),'Points Refrence'!$A$2:$B$11,2,FALSE),0)</f>
        <v>0</v>
      </c>
      <c r="W14" s="4">
        <f>IFERROR(VLOOKUP(MATCH($B14,INDEX('Race Resuts'!$A$2:$W$23,0,MATCH(W$1,'Race Resuts'!$A$1:$W$1,0)),0),'Points Refrence'!$A$2:$B$11,2,FALSE),0)</f>
        <v>0</v>
      </c>
      <c r="X14" s="4">
        <f>IFERROR(VLOOKUP(MATCH($B14,INDEX('Race Resuts'!$A$2:$W$23,0,MATCH(X$1,'Race Resuts'!$A$1:$W$1,0)),0),'Points Refrence'!$A$2:$B$11,2,FALSE),0)</f>
        <v>0</v>
      </c>
      <c r="Y14" s="4">
        <f>IFERROR(VLOOKUP(MATCH($B14,INDEX('Race Resuts'!$A$2:$W$23,0,MATCH(Y$1,'Race Resuts'!$A$1:$W$1,0)),0),'Points Refrence'!$A$2:$B$11,2,FALSE),0)</f>
        <v>0</v>
      </c>
      <c r="Z14" s="4">
        <f>IFERROR(VLOOKUP(MATCH($B14,INDEX('Race Resuts'!$A$2:$W$23,0,MATCH(Z$1,'Race Resuts'!$A$1:$W$1,0)),0),'Points Refrence'!$A$2:$B$11,2,FALSE),0)</f>
        <v>0</v>
      </c>
      <c r="AA14" s="7">
        <f>RANK(AB14,$AB$2:$AB$23,0)+COUNTIF($AB$2:AB14,AB14)-1</f>
        <v>13</v>
      </c>
      <c r="AB14" s="7">
        <f t="shared" si="0"/>
        <v>18</v>
      </c>
      <c r="AD14" s="4">
        <f t="shared" si="1"/>
        <v>13</v>
      </c>
      <c r="AE14" s="4" t="str">
        <f t="shared" si="2"/>
        <v>BEA</v>
      </c>
      <c r="AF14" s="4">
        <f t="shared" si="3"/>
        <v>18</v>
      </c>
    </row>
    <row r="15" spans="1:34" ht="21.6" x14ac:dyDescent="0.4">
      <c r="A15" s="17" t="s">
        <v>85</v>
      </c>
      <c r="B15" s="17" t="s">
        <v>54</v>
      </c>
      <c r="C15" s="4">
        <f>IFERROR(VLOOKUP(MATCH($B15,INDEX('Race Resuts'!$A$2:$W$23,0,MATCH(C$1,'Race Resuts'!$A$1:$W$1,0)),0),'Points Refrence'!$A$2:$B$11,2,FALSE),0)</f>
        <v>0</v>
      </c>
      <c r="D15" s="42">
        <f>IFERROR(_xlfn.XLOOKUP(MATCH($B15,INDEX('Race Resuts'!$B$2:$W$23,0,MATCH(D$1,'Race Resuts'!$B$1:$W$1,0)),0),'Points Refrence'!$A$2:$A$11,'Points Refrence'!$B$2:$B$11,0),0)+IFERROR(_xlfn.XLOOKUP(MATCH($B15,INDEX('Sprint Race Results'!$B$2:$G$23,0,MATCH(D$1,'Sprint Race Results'!$B$1:$G$1,0)),0),'Points Refrence'!$D$2:$D$9,'Points Refrence'!$E$2:$E$9,0),0)</f>
        <v>0</v>
      </c>
      <c r="E15" s="4">
        <f>IFERROR(VLOOKUP(MATCH($B15,INDEX('Race Resuts'!$A$2:$W$23,0,MATCH(E$1,'Race Resuts'!$A$1:$W$1,0)),0),'Points Refrence'!$A$2:$B$11,2,FALSE),0)</f>
        <v>1</v>
      </c>
      <c r="F15" s="47">
        <f>IFERROR(VLOOKUP(MATCH($B15,INDEX('Race Resuts'!$A$2:$W$23,0,MATCH(F$1,'Race Resuts'!$A$1:$W$1,0)),0),'Points Refrence'!$A$2:$B$11,2,FALSE),0)</f>
        <v>0</v>
      </c>
      <c r="G15" s="47">
        <f>IFERROR(VLOOKUP(MATCH($B15,INDEX('Race Resuts'!$A$2:$W$23,0,MATCH(G$1,'Race Resuts'!$A$1:$W$1,0)),0),'Points Refrence'!$A$2:$B$11,2,FALSE),0)</f>
        <v>0</v>
      </c>
      <c r="H15" s="42">
        <f>IFERROR(VLOOKUP(MATCH($B15,INDEX('Race Resuts'!$B$2:$W$23,0,MATCH(H$1,'Race Resuts'!$B$1:$W$1,0)),0),'Points Refrence'!$A$2:$B$11,2,FALSE),0)+IFERROR(VLOOKUP(MATCH($B15,INDEX('Sprint Race Results'!$B$2:$G$23,0,MATCH(H$1,'Sprint Race Results'!$B$1:$G$1,0)),0),'Points Refrence'!$D$2:$E$9,2,FALSE),0)</f>
        <v>0</v>
      </c>
      <c r="I15" s="42">
        <f>IFERROR(VLOOKUP(MATCH($B15,INDEX('Race Resuts'!$B$2:$W$23,0,MATCH(I$1,'Race Resuts'!$B$1:$W$1,0)),0),'Points Refrence'!$A$2:$B$11,2,FALSE),0)+IFERROR(VLOOKUP(MATCH($B15,INDEX('Sprint Race Results'!$B$2:$G$23,0,MATCH(I$1,'Sprint Race Results'!$B$1:$G$1,0)),0),'Points Refrence'!$D$2:$E$9,2,FALSE),0)</f>
        <v>0</v>
      </c>
      <c r="J15" s="4">
        <f>IFERROR(VLOOKUP(MATCH($B15,INDEX('Race Resuts'!$A$2:$W$23,0,MATCH(J$1,'Race Resuts'!$A$1:$W$1,0)),0),'Points Refrence'!$A$2:$B$11,2,FALSE),0)</f>
        <v>2</v>
      </c>
      <c r="K15" s="4">
        <f>IFERROR(VLOOKUP(MATCH($B15,INDEX('Race Resuts'!$A$2:$W$23,0,MATCH(K$1,'Race Resuts'!$A$1:$W$1,0)),0),'Points Refrence'!$A$2:$B$11,2,FALSE),0)</f>
        <v>0</v>
      </c>
      <c r="L15" s="4">
        <f>IFERROR(VLOOKUP(MATCH($B15,INDEX('Race Resuts'!$A$2:$W$23,0,MATCH(L$1,'Race Resuts'!$A$1:$W$1,0)),0),'Points Refrence'!$A$2:$B$11,2,FALSE),0)</f>
        <v>0</v>
      </c>
      <c r="M15" s="42">
        <f>IFERROR(VLOOKUP(MATCH($B15,INDEX('Race Resuts'!$B$2:$W$23,0,MATCH(M$1,'Race Resuts'!$B$1:$W$1,0)),0),'Points Refrence'!$A$2:$B$11,2,FALSE),0)+IFERROR(VLOOKUP(MATCH($B15,INDEX('Sprint Race Results'!$B$2:$G$23,0,MATCH(M$1,'Sprint Race Results'!$B$1:$G$1,0)),0),'Points Refrence'!$D$2:$E$9,2,FALSE),0)</f>
        <v>0</v>
      </c>
      <c r="N15" s="4">
        <f>IFERROR(VLOOKUP(MATCH($B15,INDEX('Race Resuts'!$A$2:$W$23,0,MATCH(N$1,'Race Resuts'!$A$1:$W$1,0)),0),'Points Refrence'!$A$2:$B$11,2,FALSE),0)</f>
        <v>0</v>
      </c>
      <c r="O15" s="4">
        <f>IFERROR(VLOOKUP(MATCH($B15,INDEX('Race Resuts'!$A$2:$W$23,0,MATCH(O$1,'Race Resuts'!$A$1:$W$1,0)),0),'Points Refrence'!$A$2:$B$11,2,FALSE),0)</f>
        <v>0</v>
      </c>
      <c r="P15" s="42">
        <f>IFERROR(VLOOKUP(MATCH($B15,INDEX('Race Resuts'!$B$2:$W$23,0,MATCH(P$1,'Race Resuts'!$B$1:$W$1,0)),0),'Points Refrence'!$A$2:$B$11,2,FALSE),0)+IFERROR(VLOOKUP(MATCH($B15,INDEX('Sprint Race Results'!$B$2:$G$23,0,MATCH(P$1,'Sprint Race Results'!$B$1:$G$1,0)),0),'Points Refrence'!$D$2:$E$9,2,FALSE),0)</f>
        <v>0</v>
      </c>
      <c r="Q15" s="4">
        <f>IFERROR(VLOOKUP(MATCH($B15,INDEX('Race Resuts'!$A$2:$W$23,0,MATCH(Q$1,'Race Resuts'!$A$1:$W$1,0)),0),'Points Refrence'!$A$2:$B$11,2,FALSE),0)</f>
        <v>0</v>
      </c>
      <c r="R15" s="4">
        <f>IFERROR(VLOOKUP(MATCH($B15,INDEX('Race Resuts'!$A$2:$W$23,0,MATCH(R$1,'Race Resuts'!$A$1:$W$1,0)),0),'Points Refrence'!$A$2:$B$11,2,FALSE),0)</f>
        <v>0</v>
      </c>
      <c r="S15" s="4">
        <f>IFERROR(VLOOKUP(MATCH($B15,INDEX('Race Resuts'!$A$2:$W$23,0,MATCH(S$1,'Race Resuts'!$A$1:$W$1,0)),0),'Points Refrence'!$A$2:$B$11,2,FALSE),0)</f>
        <v>0</v>
      </c>
      <c r="T15" s="42">
        <f>IFERROR(VLOOKUP(MATCH($B15,INDEX('Race Resuts'!$B$2:$W$23,0,MATCH(T$1,'Race Resuts'!$B$1:$W$1,0)),0),'Points Refrence'!$A$2:$B$11,2,FALSE),0)+IFERROR(VLOOKUP(MATCH($B15,INDEX('Sprint Race Results'!$B$2:$G$23,0,MATCH(T$1,'Sprint Race Results'!$B$1:$G$1,0)),0),'Points Refrence'!$D$2:$E$9,2,FALSE),0)</f>
        <v>0</v>
      </c>
      <c r="U15" s="4">
        <f>IFERROR(VLOOKUP(MATCH($B15,INDEX('Race Resuts'!$A$2:$W$23,0,MATCH(U$1,'Race Resuts'!$A$1:$W$1,0)),0),'Points Refrence'!$A$2:$B$11,2,FALSE),0)</f>
        <v>0</v>
      </c>
      <c r="V15" s="4">
        <f>IFERROR(VLOOKUP(MATCH($B15,INDEX('Race Resuts'!$A$2:$W$23,0,MATCH(V$1,'Race Resuts'!$A$1:$W$1,0)),0),'Points Refrence'!$A$2:$B$11,2,FALSE),0)</f>
        <v>0</v>
      </c>
      <c r="W15" s="4">
        <f>IFERROR(VLOOKUP(MATCH($B15,INDEX('Race Resuts'!$A$2:$W$23,0,MATCH(W$1,'Race Resuts'!$A$1:$W$1,0)),0),'Points Refrence'!$A$2:$B$11,2,FALSE),0)</f>
        <v>0</v>
      </c>
      <c r="X15" s="4">
        <f>IFERROR(VLOOKUP(MATCH($B15,INDEX('Race Resuts'!$A$2:$W$23,0,MATCH(X$1,'Race Resuts'!$A$1:$W$1,0)),0),'Points Refrence'!$A$2:$B$11,2,FALSE),0)</f>
        <v>0</v>
      </c>
      <c r="Y15" s="4">
        <f>IFERROR(VLOOKUP(MATCH($B15,INDEX('Race Resuts'!$A$2:$W$23,0,MATCH(Y$1,'Race Resuts'!$A$1:$W$1,0)),0),'Points Refrence'!$A$2:$B$11,2,FALSE),0)</f>
        <v>0</v>
      </c>
      <c r="Z15" s="4">
        <f>IFERROR(VLOOKUP(MATCH($B15,INDEX('Race Resuts'!$A$2:$W$23,0,MATCH(Z$1,'Race Resuts'!$A$1:$W$1,0)),0),'Points Refrence'!$A$2:$B$11,2,FALSE),0)</f>
        <v>0</v>
      </c>
      <c r="AA15" s="7">
        <f>RANK(AB15,$AB$2:$AB$23,0)+COUNTIF($AB$2:AB15,AB15)-1</f>
        <v>17</v>
      </c>
      <c r="AB15" s="7">
        <f t="shared" si="0"/>
        <v>3</v>
      </c>
      <c r="AD15" s="4">
        <f t="shared" si="1"/>
        <v>14</v>
      </c>
      <c r="AE15" s="4" t="str">
        <f t="shared" si="2"/>
        <v>BOR</v>
      </c>
      <c r="AF15" s="4">
        <f t="shared" si="3"/>
        <v>10</v>
      </c>
    </row>
    <row r="16" spans="1:34" ht="21.6" x14ac:dyDescent="0.4">
      <c r="A16" s="15" t="s">
        <v>86</v>
      </c>
      <c r="B16" s="15" t="s">
        <v>62</v>
      </c>
      <c r="C16" s="4">
        <f>IFERROR(VLOOKUP(MATCH($B16,INDEX('Race Resuts'!$A$2:$W$23,0,MATCH(C$1,'Race Resuts'!$A$1:$W$1,0)),0),'Points Refrence'!$A$2:$B$11,2,FALSE),0)</f>
        <v>0</v>
      </c>
      <c r="D16" s="42">
        <f>IFERROR(_xlfn.XLOOKUP(MATCH($B16,INDEX('Race Resuts'!$B$2:$W$23,0,MATCH(D$1,'Race Resuts'!$B$1:$W$1,0)),0),'Points Refrence'!$A$2:$A$11,'Points Refrence'!$B$2:$B$11,0),0)+IFERROR(_xlfn.XLOOKUP(MATCH($B16,INDEX('Sprint Race Results'!$B$2:$G$23,0,MATCH(D$1,'Sprint Race Results'!$B$1:$G$1,0)),0),'Points Refrence'!$D$2:$D$9,'Points Refrence'!$E$2:$E$9,0),0)</f>
        <v>0</v>
      </c>
      <c r="E16" s="4">
        <f>IFERROR(VLOOKUP(MATCH($B16,INDEX('Race Resuts'!$A$2:$W$23,0,MATCH(E$1,'Race Resuts'!$A$1:$W$1,0)),0),'Points Refrence'!$A$2:$B$11,2,FALSE),0)</f>
        <v>0</v>
      </c>
      <c r="F16" s="47">
        <f>IFERROR(VLOOKUP(MATCH($B16,INDEX('Race Resuts'!$A$2:$W$23,0,MATCH(F$1,'Race Resuts'!$A$1:$W$1,0)),0),'Points Refrence'!$A$2:$B$11,2,FALSE),0)</f>
        <v>0</v>
      </c>
      <c r="G16" s="47">
        <f>IFERROR(VLOOKUP(MATCH($B16,INDEX('Race Resuts'!$A$2:$W$23,0,MATCH(G$1,'Race Resuts'!$A$1:$W$1,0)),0),'Points Refrence'!$A$2:$B$11,2,FALSE),0)</f>
        <v>0</v>
      </c>
      <c r="H16" s="42">
        <f>IFERROR(VLOOKUP(MATCH($B16,INDEX('Race Resuts'!$B$2:$W$23,0,MATCH(H$1,'Race Resuts'!$B$1:$W$1,0)),0),'Points Refrence'!$A$2:$B$11,2,FALSE),0)+IFERROR(VLOOKUP(MATCH($B16,INDEX('Sprint Race Results'!$B$2:$G$23,0,MATCH(H$1,'Sprint Race Results'!$B$1:$G$1,0)),0),'Points Refrence'!$D$2:$E$9,2,FALSE),0)</f>
        <v>0</v>
      </c>
      <c r="I16" s="42">
        <f>IFERROR(VLOOKUP(MATCH($B16,INDEX('Race Resuts'!$B$2:$W$23,0,MATCH(I$1,'Race Resuts'!$B$1:$W$1,0)),0),'Points Refrence'!$A$2:$B$11,2,FALSE),0)+IFERROR(VLOOKUP(MATCH($B16,INDEX('Sprint Race Results'!$B$2:$G$23,0,MATCH(I$1,'Sprint Race Results'!$B$1:$G$1,0)),0),'Points Refrence'!$D$2:$E$9,2,FALSE),0)</f>
        <v>0</v>
      </c>
      <c r="J16" s="4">
        <f>IFERROR(VLOOKUP(MATCH($B16,INDEX('Race Resuts'!$A$2:$W$23,0,MATCH(J$1,'Race Resuts'!$A$1:$W$1,0)),0),'Points Refrence'!$A$2:$B$11,2,FALSE),0)</f>
        <v>0</v>
      </c>
      <c r="K16" s="4">
        <f>IFERROR(VLOOKUP(MATCH($B16,INDEX('Race Resuts'!$A$2:$W$23,0,MATCH(K$1,'Race Resuts'!$A$1:$W$1,0)),0),'Points Refrence'!$A$2:$B$11,2,FALSE),0)</f>
        <v>0</v>
      </c>
      <c r="L16" s="4">
        <f>IFERROR(VLOOKUP(MATCH($B16,INDEX('Race Resuts'!$A$2:$W$23,0,MATCH(L$1,'Race Resuts'!$A$1:$W$1,0)),0),'Points Refrence'!$A$2:$B$11,2,FALSE),0)</f>
        <v>0</v>
      </c>
      <c r="M16" s="42">
        <f>IFERROR(VLOOKUP(MATCH($B16,INDEX('Race Resuts'!$B$2:$W$23,0,MATCH(M$1,'Race Resuts'!$B$1:$W$1,0)),0),'Points Refrence'!$A$2:$B$11,2,FALSE),0)+IFERROR(VLOOKUP(MATCH($B16,INDEX('Sprint Race Results'!$B$2:$G$23,0,MATCH(M$1,'Sprint Race Results'!$B$1:$G$1,0)),0),'Points Refrence'!$D$2:$E$9,2,FALSE),0)</f>
        <v>0</v>
      </c>
      <c r="N16" s="4">
        <f>IFERROR(VLOOKUP(MATCH($B16,INDEX('Race Resuts'!$A$2:$W$23,0,MATCH(N$1,'Race Resuts'!$A$1:$W$1,0)),0),'Points Refrence'!$A$2:$B$11,2,FALSE),0)</f>
        <v>0</v>
      </c>
      <c r="O16" s="4">
        <f>IFERROR(VLOOKUP(MATCH($B16,INDEX('Race Resuts'!$A$2:$W$23,0,MATCH(O$1,'Race Resuts'!$A$1:$W$1,0)),0),'Points Refrence'!$A$2:$B$11,2,FALSE),0)</f>
        <v>2</v>
      </c>
      <c r="P16" s="42">
        <f>IFERROR(VLOOKUP(MATCH($B16,INDEX('Race Resuts'!$B$2:$W$23,0,MATCH(P$1,'Race Resuts'!$B$1:$W$1,0)),0),'Points Refrence'!$A$2:$B$11,2,FALSE),0)+IFERROR(VLOOKUP(MATCH($B16,INDEX('Sprint Race Results'!$B$2:$G$23,0,MATCH(P$1,'Sprint Race Results'!$B$1:$G$1,0)),0),'Points Refrence'!$D$2:$E$9,2,FALSE),0)</f>
        <v>0</v>
      </c>
      <c r="Q16" s="4">
        <f>IFERROR(VLOOKUP(MATCH($B16,INDEX('Race Resuts'!$A$2:$W$23,0,MATCH(Q$1,'Race Resuts'!$A$1:$W$1,0)),0),'Points Refrence'!$A$2:$B$11,2,FALSE),0)</f>
        <v>0</v>
      </c>
      <c r="R16" s="4">
        <f>IFERROR(VLOOKUP(MATCH($B16,INDEX('Race Resuts'!$A$2:$W$23,0,MATCH(R$1,'Race Resuts'!$A$1:$W$1,0)),0),'Points Refrence'!$A$2:$B$11,2,FALSE),0)</f>
        <v>0</v>
      </c>
      <c r="S16" s="4">
        <f>IFERROR(VLOOKUP(MATCH($B16,INDEX('Race Resuts'!$A$2:$W$23,0,MATCH(S$1,'Race Resuts'!$A$1:$W$1,0)),0),'Points Refrence'!$A$2:$B$11,2,FALSE),0)</f>
        <v>0</v>
      </c>
      <c r="T16" s="42">
        <f>IFERROR(VLOOKUP(MATCH($B16,INDEX('Race Resuts'!$B$2:$W$23,0,MATCH(T$1,'Race Resuts'!$B$1:$W$1,0)),0),'Points Refrence'!$A$2:$B$11,2,FALSE),0)+IFERROR(VLOOKUP(MATCH($B16,INDEX('Sprint Race Results'!$B$2:$G$23,0,MATCH(T$1,'Sprint Race Results'!$B$1:$G$1,0)),0),'Points Refrence'!$D$2:$E$9,2,FALSE),0)</f>
        <v>0</v>
      </c>
      <c r="U16" s="4">
        <f>IFERROR(VLOOKUP(MATCH($B16,INDEX('Race Resuts'!$A$2:$W$23,0,MATCH(U$1,'Race Resuts'!$A$1:$W$1,0)),0),'Points Refrence'!$A$2:$B$11,2,FALSE),0)</f>
        <v>0</v>
      </c>
      <c r="V16" s="4">
        <f>IFERROR(VLOOKUP(MATCH($B16,INDEX('Race Resuts'!$A$2:$W$23,0,MATCH(V$1,'Race Resuts'!$A$1:$W$1,0)),0),'Points Refrence'!$A$2:$B$11,2,FALSE),0)</f>
        <v>0</v>
      </c>
      <c r="W16" s="4">
        <f>IFERROR(VLOOKUP(MATCH($B16,INDEX('Race Resuts'!$A$2:$W$23,0,MATCH(W$1,'Race Resuts'!$A$1:$W$1,0)),0),'Points Refrence'!$A$2:$B$11,2,FALSE),0)</f>
        <v>0</v>
      </c>
      <c r="X16" s="4">
        <f>IFERROR(VLOOKUP(MATCH($B16,INDEX('Race Resuts'!$A$2:$W$23,0,MATCH(X$1,'Race Resuts'!$A$1:$W$1,0)),0),'Points Refrence'!$A$2:$B$11,2,FALSE),0)</f>
        <v>0</v>
      </c>
      <c r="Y16" s="4">
        <f>IFERROR(VLOOKUP(MATCH($B16,INDEX('Race Resuts'!$A$2:$W$23,0,MATCH(Y$1,'Race Resuts'!$A$1:$W$1,0)),0),'Points Refrence'!$A$2:$B$11,2,FALSE),0)</f>
        <v>0</v>
      </c>
      <c r="Z16" s="4">
        <f>IFERROR(VLOOKUP(MATCH($B16,INDEX('Race Resuts'!$A$2:$W$23,0,MATCH(Z$1,'Race Resuts'!$A$1:$W$1,0)),0),'Points Refrence'!$A$2:$B$11,2,FALSE),0)</f>
        <v>0</v>
      </c>
      <c r="AA16" s="7">
        <f>RANK(AB16,$AB$2:$AB$23,0)+COUNTIF($AB$2:AB16,AB16)-1</f>
        <v>18</v>
      </c>
      <c r="AB16" s="7">
        <f t="shared" si="0"/>
        <v>2</v>
      </c>
      <c r="AD16" s="4">
        <f t="shared" si="1"/>
        <v>15</v>
      </c>
      <c r="AE16" s="4" t="str">
        <f t="shared" si="2"/>
        <v>SAI</v>
      </c>
      <c r="AF16" s="4">
        <f t="shared" si="3"/>
        <v>6</v>
      </c>
    </row>
    <row r="17" spans="1:32" ht="21.6" x14ac:dyDescent="0.4">
      <c r="A17" s="15" t="s">
        <v>87</v>
      </c>
      <c r="B17" s="15" t="s">
        <v>49</v>
      </c>
      <c r="C17" s="4">
        <f>IFERROR(VLOOKUP(MATCH($B17,INDEX('Race Resuts'!$A$2:$W$23,0,MATCH(C$1,'Race Resuts'!$A$1:$W$1,0)),0),'Points Refrence'!$A$2:$B$11,2,FALSE),0)</f>
        <v>2</v>
      </c>
      <c r="D17" s="42">
        <f>IFERROR(_xlfn.XLOOKUP(MATCH($B17,INDEX('Race Resuts'!$B$2:$W$23,0,MATCH(D$1,'Race Resuts'!$B$1:$W$1,0)),0),'Points Refrence'!$A$2:$A$11,'Points Refrence'!$B$2:$B$11,0),0)+IFERROR(_xlfn.XLOOKUP(MATCH($B17,INDEX('Sprint Race Results'!$B$2:$G$23,0,MATCH(D$1,'Sprint Race Results'!$B$1:$G$1,0)),0),'Points Refrence'!$D$2:$D$9,'Points Refrence'!$E$2:$E$9,0),0)</f>
        <v>0</v>
      </c>
      <c r="E17" s="4">
        <f>IFERROR(VLOOKUP(MATCH($B17,INDEX('Race Resuts'!$A$2:$W$23,0,MATCH(E$1,'Race Resuts'!$A$1:$W$1,0)),0),'Points Refrence'!$A$2:$B$11,2,FALSE),0)</f>
        <v>0</v>
      </c>
      <c r="F17" s="47">
        <f>IFERROR(VLOOKUP(MATCH($B17,INDEX('Race Resuts'!$A$2:$W$23,0,MATCH(F$1,'Race Resuts'!$A$1:$W$1,0)),0),'Points Refrence'!$A$2:$B$11,2,FALSE),0)</f>
        <v>0</v>
      </c>
      <c r="G17" s="47">
        <f>IFERROR(VLOOKUP(MATCH($B17,INDEX('Race Resuts'!$A$2:$W$23,0,MATCH(G$1,'Race Resuts'!$A$1:$W$1,0)),0),'Points Refrence'!$A$2:$B$11,2,FALSE),0)</f>
        <v>0</v>
      </c>
      <c r="H17" s="42">
        <f>IFERROR(VLOOKUP(MATCH($B17,INDEX('Race Resuts'!$B$2:$W$23,0,MATCH(H$1,'Race Resuts'!$B$1:$W$1,0)),0),'Points Refrence'!$A$2:$B$11,2,FALSE),0)+IFERROR(VLOOKUP(MATCH($B17,INDEX('Sprint Race Results'!$B$2:$G$23,0,MATCH(H$1,'Sprint Race Results'!$B$1:$G$1,0)),0),'Points Refrence'!$D$2:$E$9,2,FALSE),0)</f>
        <v>0</v>
      </c>
      <c r="I17" s="42">
        <f>IFERROR(VLOOKUP(MATCH($B17,INDEX('Race Resuts'!$B$2:$W$23,0,MATCH(I$1,'Race Resuts'!$B$1:$W$1,0)),0),'Points Refrence'!$A$2:$B$11,2,FALSE),0)+IFERROR(VLOOKUP(MATCH($B17,INDEX('Sprint Race Results'!$B$2:$G$23,0,MATCH(I$1,'Sprint Race Results'!$B$1:$G$1,0)),0),'Points Refrence'!$D$2:$E$9,2,FALSE),0)</f>
        <v>0</v>
      </c>
      <c r="J17" s="4">
        <f>IFERROR(VLOOKUP(MATCH($B17,INDEX('Race Resuts'!$A$2:$W$23,0,MATCH(J$1,'Race Resuts'!$A$1:$W$1,0)),0),'Points Refrence'!$A$2:$B$11,2,FALSE),0)</f>
        <v>0</v>
      </c>
      <c r="K17" s="4">
        <f>IFERROR(VLOOKUP(MATCH($B17,INDEX('Race Resuts'!$A$2:$W$23,0,MATCH(K$1,'Race Resuts'!$A$1:$W$1,0)),0),'Points Refrence'!$A$2:$B$11,2,FALSE),0)</f>
        <v>0</v>
      </c>
      <c r="L17" s="4">
        <f>IFERROR(VLOOKUP(MATCH($B17,INDEX('Race Resuts'!$A$2:$W$23,0,MATCH(L$1,'Race Resuts'!$A$1:$W$1,0)),0),'Points Refrence'!$A$2:$B$11,2,FALSE),0)</f>
        <v>0</v>
      </c>
      <c r="M17" s="42">
        <f>IFERROR(VLOOKUP(MATCH($B17,INDEX('Race Resuts'!$B$2:$W$23,0,MATCH(M$1,'Race Resuts'!$B$1:$W$1,0)),0),'Points Refrence'!$A$2:$B$11,2,FALSE),0)+IFERROR(VLOOKUP(MATCH($B17,INDEX('Sprint Race Results'!$B$2:$G$23,0,MATCH(M$1,'Sprint Race Results'!$B$1:$G$1,0)),0),'Points Refrence'!$D$2:$E$9,2,FALSE),0)</f>
        <v>4</v>
      </c>
      <c r="N17" s="4">
        <f>IFERROR(VLOOKUP(MATCH($B17,INDEX('Race Resuts'!$A$2:$W$23,0,MATCH(N$1,'Race Resuts'!$A$1:$W$1,0)),0),'Points Refrence'!$A$2:$B$11,2,FALSE),0)</f>
        <v>4</v>
      </c>
      <c r="O17" s="4">
        <f>IFERROR(VLOOKUP(MATCH($B17,INDEX('Race Resuts'!$A$2:$W$23,0,MATCH(O$1,'Race Resuts'!$A$1:$W$1,0)),0),'Points Refrence'!$A$2:$B$11,2,FALSE),0)</f>
        <v>0</v>
      </c>
      <c r="P17" s="42">
        <f>IFERROR(VLOOKUP(MATCH($B17,INDEX('Race Resuts'!$B$2:$W$23,0,MATCH(P$1,'Race Resuts'!$B$1:$W$1,0)),0),'Points Refrence'!$A$2:$B$11,2,FALSE),0)+IFERROR(VLOOKUP(MATCH($B17,INDEX('Sprint Race Results'!$B$2:$G$23,0,MATCH(P$1,'Sprint Race Results'!$B$1:$G$1,0)),0),'Points Refrence'!$D$2:$E$9,2,FALSE),0)</f>
        <v>0</v>
      </c>
      <c r="Q17" s="4">
        <f>IFERROR(VLOOKUP(MATCH($B17,INDEX('Race Resuts'!$A$2:$W$23,0,MATCH(Q$1,'Race Resuts'!$A$1:$W$1,0)),0),'Points Refrence'!$A$2:$B$11,2,FALSE),0)</f>
        <v>0</v>
      </c>
      <c r="R17" s="4">
        <f>IFERROR(VLOOKUP(MATCH($B17,INDEX('Race Resuts'!$A$2:$W$23,0,MATCH(R$1,'Race Resuts'!$A$1:$W$1,0)),0),'Points Refrence'!$A$2:$B$11,2,FALSE),0)</f>
        <v>0</v>
      </c>
      <c r="S17" s="4">
        <f>IFERROR(VLOOKUP(MATCH($B17,INDEX('Race Resuts'!$A$2:$W$23,0,MATCH(S$1,'Race Resuts'!$A$1:$W$1,0)),0),'Points Refrence'!$A$2:$B$11,2,FALSE),0)</f>
        <v>0</v>
      </c>
      <c r="T17" s="42">
        <f>IFERROR(VLOOKUP(MATCH($B17,INDEX('Race Resuts'!$B$2:$W$23,0,MATCH(T$1,'Race Resuts'!$B$1:$W$1,0)),0),'Points Refrence'!$A$2:$B$11,2,FALSE),0)+IFERROR(VLOOKUP(MATCH($B17,INDEX('Sprint Race Results'!$B$2:$G$23,0,MATCH(T$1,'Sprint Race Results'!$B$1:$G$1,0)),0),'Points Refrence'!$D$2:$E$9,2,FALSE),0)</f>
        <v>0</v>
      </c>
      <c r="U17" s="4">
        <f>IFERROR(VLOOKUP(MATCH($B17,INDEX('Race Resuts'!$A$2:$W$23,0,MATCH(U$1,'Race Resuts'!$A$1:$W$1,0)),0),'Points Refrence'!$A$2:$B$11,2,FALSE),0)</f>
        <v>0</v>
      </c>
      <c r="V17" s="4">
        <f>IFERROR(VLOOKUP(MATCH($B17,INDEX('Race Resuts'!$A$2:$W$23,0,MATCH(V$1,'Race Resuts'!$A$1:$W$1,0)),0),'Points Refrence'!$A$2:$B$11,2,FALSE),0)</f>
        <v>0</v>
      </c>
      <c r="W17" s="4">
        <f>IFERROR(VLOOKUP(MATCH($B17,INDEX('Race Resuts'!$A$2:$W$23,0,MATCH(W$1,'Race Resuts'!$A$1:$W$1,0)),0),'Points Refrence'!$A$2:$B$11,2,FALSE),0)</f>
        <v>0</v>
      </c>
      <c r="X17" s="4">
        <f>IFERROR(VLOOKUP(MATCH($B17,INDEX('Race Resuts'!$A$2:$W$23,0,MATCH(X$1,'Race Resuts'!$A$1:$W$1,0)),0),'Points Refrence'!$A$2:$B$11,2,FALSE),0)</f>
        <v>0</v>
      </c>
      <c r="Y17" s="4">
        <f>IFERROR(VLOOKUP(MATCH($B17,INDEX('Race Resuts'!$A$2:$W$23,0,MATCH(Y$1,'Race Resuts'!$A$1:$W$1,0)),0),'Points Refrence'!$A$2:$B$11,2,FALSE),0)</f>
        <v>0</v>
      </c>
      <c r="Z17" s="4">
        <f>IFERROR(VLOOKUP(MATCH($B17,INDEX('Race Resuts'!$A$2:$W$23,0,MATCH(Z$1,'Race Resuts'!$A$1:$W$1,0)),0),'Points Refrence'!$A$2:$B$11,2,FALSE),0)</f>
        <v>0</v>
      </c>
      <c r="AA17" s="7">
        <f>RANK(AB17,$AB$2:$AB$23,0)+COUNTIF($AB$2:AB17,AB17)-1</f>
        <v>14</v>
      </c>
      <c r="AB17" s="7">
        <f t="shared" si="0"/>
        <v>10</v>
      </c>
      <c r="AD17" s="4">
        <f t="shared" si="1"/>
        <v>16</v>
      </c>
      <c r="AE17" s="4" t="str">
        <f t="shared" si="2"/>
        <v>ALB</v>
      </c>
      <c r="AF17" s="4">
        <f t="shared" si="3"/>
        <v>5</v>
      </c>
    </row>
    <row r="18" spans="1:32" ht="21.6" x14ac:dyDescent="0.4">
      <c r="A18" s="16" t="s">
        <v>88</v>
      </c>
      <c r="B18" s="16" t="s">
        <v>61</v>
      </c>
      <c r="C18" s="4">
        <f>IFERROR(VLOOKUP(MATCH($B18,INDEX('Race Resuts'!$A$2:$W$23,0,MATCH(C$1,'Race Resuts'!$A$1:$W$1,0)),0),'Points Refrence'!$A$2:$B$11,2,FALSE),0)</f>
        <v>0</v>
      </c>
      <c r="D18" s="42">
        <f>IFERROR(_xlfn.XLOOKUP(MATCH($B18,INDEX('Race Resuts'!$B$2:$W$23,0,MATCH(D$1,'Race Resuts'!$B$1:$W$1,0)),0),'Points Refrence'!$A$2:$A$11,'Points Refrence'!$B$2:$B$11,0),0)+IFERROR(_xlfn.XLOOKUP(MATCH($B18,INDEX('Sprint Race Results'!$B$2:$G$23,0,MATCH(D$1,'Sprint Race Results'!$B$1:$G$1,0)),0),'Points Refrence'!$D$2:$D$9,'Points Refrence'!$E$2:$E$9,0),0)</f>
        <v>0</v>
      </c>
      <c r="E18" s="4">
        <f>IFERROR(VLOOKUP(MATCH($B18,INDEX('Race Resuts'!$A$2:$W$23,0,MATCH(E$1,'Race Resuts'!$A$1:$W$1,0)),0),'Points Refrence'!$A$2:$B$11,2,FALSE),0)</f>
        <v>0</v>
      </c>
      <c r="F18" s="47">
        <f>IFERROR(VLOOKUP(MATCH($B18,INDEX('Race Resuts'!$A$2:$W$23,0,MATCH(F$1,'Race Resuts'!$A$1:$W$1,0)),0),'Points Refrence'!$A$2:$B$11,2,FALSE),0)</f>
        <v>0</v>
      </c>
      <c r="G18" s="47">
        <f>IFERROR(VLOOKUP(MATCH($B18,INDEX('Race Resuts'!$A$2:$W$23,0,MATCH(G$1,'Race Resuts'!$A$1:$W$1,0)),0),'Points Refrence'!$A$2:$B$11,2,FALSE),0)</f>
        <v>0</v>
      </c>
      <c r="H18" s="42">
        <f>IFERROR(VLOOKUP(MATCH($B18,INDEX('Race Resuts'!$B$2:$W$23,0,MATCH(H$1,'Race Resuts'!$B$1:$W$1,0)),0),'Points Refrence'!$A$2:$B$11,2,FALSE),0)+IFERROR(VLOOKUP(MATCH($B18,INDEX('Sprint Race Results'!$B$2:$G$23,0,MATCH(H$1,'Sprint Race Results'!$B$1:$G$1,0)),0),'Points Refrence'!$D$2:$E$9,2,FALSE),0)</f>
        <v>1</v>
      </c>
      <c r="I18" s="42">
        <f>IFERROR(VLOOKUP(MATCH($B18,INDEX('Race Resuts'!$B$2:$W$23,0,MATCH(I$1,'Race Resuts'!$B$1:$W$1,0)),0),'Points Refrence'!$A$2:$B$11,2,FALSE),0)+IFERROR(VLOOKUP(MATCH($B18,INDEX('Sprint Race Results'!$B$2:$G$23,0,MATCH(I$1,'Sprint Race Results'!$B$1:$G$1,0)),0),'Points Refrence'!$D$2:$E$9,2,FALSE),0)</f>
        <v>0</v>
      </c>
      <c r="J18" s="4">
        <f>IFERROR(VLOOKUP(MATCH($B18,INDEX('Race Resuts'!$A$2:$W$23,0,MATCH(J$1,'Race Resuts'!$A$1:$W$1,0)),0),'Points Refrence'!$A$2:$B$11,2,FALSE),0)</f>
        <v>4</v>
      </c>
      <c r="K18" s="4">
        <f>IFERROR(VLOOKUP(MATCH($B18,INDEX('Race Resuts'!$A$2:$W$23,0,MATCH(K$1,'Race Resuts'!$A$1:$W$1,0)),0),'Points Refrence'!$A$2:$B$11,2,FALSE),0)</f>
        <v>0</v>
      </c>
      <c r="L18" s="4">
        <f>IFERROR(VLOOKUP(MATCH($B18,INDEX('Race Resuts'!$A$2:$W$23,0,MATCH(L$1,'Race Resuts'!$A$1:$W$1,0)),0),'Points Refrence'!$A$2:$B$11,2,FALSE),0)</f>
        <v>0</v>
      </c>
      <c r="M18" s="42">
        <f>IFERROR(VLOOKUP(MATCH($B18,INDEX('Race Resuts'!$B$2:$W$23,0,MATCH(M$1,'Race Resuts'!$B$1:$W$1,0)),0),'Points Refrence'!$A$2:$B$11,2,FALSE),0)+IFERROR(VLOOKUP(MATCH($B18,INDEX('Sprint Race Results'!$B$2:$G$23,0,MATCH(M$1,'Sprint Race Results'!$B$1:$G$1,0)),0),'Points Refrence'!$D$2:$E$9,2,FALSE),0)</f>
        <v>0</v>
      </c>
      <c r="N18" s="4">
        <f>IFERROR(VLOOKUP(MATCH($B18,INDEX('Race Resuts'!$A$2:$W$23,0,MATCH(N$1,'Race Resuts'!$A$1:$W$1,0)),0),'Points Refrence'!$A$2:$B$11,2,FALSE),0)</f>
        <v>0</v>
      </c>
      <c r="O18" s="4">
        <f>IFERROR(VLOOKUP(MATCH($B18,INDEX('Race Resuts'!$A$2:$W$23,0,MATCH(O$1,'Race Resuts'!$A$1:$W$1,0)),0),'Points Refrence'!$A$2:$B$11,2,FALSE),0)</f>
        <v>0</v>
      </c>
      <c r="P18" s="42">
        <f>IFERROR(VLOOKUP(MATCH($B18,INDEX('Race Resuts'!$B$2:$W$23,0,MATCH(P$1,'Race Resuts'!$B$1:$W$1,0)),0),'Points Refrence'!$A$2:$B$11,2,FALSE),0)+IFERROR(VLOOKUP(MATCH($B18,INDEX('Sprint Race Results'!$B$2:$G$23,0,MATCH(P$1,'Sprint Race Results'!$B$1:$G$1,0)),0),'Points Refrence'!$D$2:$E$9,2,FALSE),0)</f>
        <v>0</v>
      </c>
      <c r="Q18" s="4">
        <f>IFERROR(VLOOKUP(MATCH($B18,INDEX('Race Resuts'!$A$2:$W$23,0,MATCH(Q$1,'Race Resuts'!$A$1:$W$1,0)),0),'Points Refrence'!$A$2:$B$11,2,FALSE),0)</f>
        <v>0</v>
      </c>
      <c r="R18" s="4">
        <f>IFERROR(VLOOKUP(MATCH($B18,INDEX('Race Resuts'!$A$2:$W$23,0,MATCH(R$1,'Race Resuts'!$A$1:$W$1,0)),0),'Points Refrence'!$A$2:$B$11,2,FALSE),0)</f>
        <v>0</v>
      </c>
      <c r="S18" s="4">
        <f>IFERROR(VLOOKUP(MATCH($B18,INDEX('Race Resuts'!$A$2:$W$23,0,MATCH(S$1,'Race Resuts'!$A$1:$W$1,0)),0),'Points Refrence'!$A$2:$B$11,2,FALSE),0)</f>
        <v>0</v>
      </c>
      <c r="T18" s="42">
        <f>IFERROR(VLOOKUP(MATCH($B18,INDEX('Race Resuts'!$B$2:$W$23,0,MATCH(T$1,'Race Resuts'!$B$1:$W$1,0)),0),'Points Refrence'!$A$2:$B$11,2,FALSE),0)+IFERROR(VLOOKUP(MATCH($B18,INDEX('Sprint Race Results'!$B$2:$G$23,0,MATCH(T$1,'Sprint Race Results'!$B$1:$G$1,0)),0),'Points Refrence'!$D$2:$E$9,2,FALSE),0)</f>
        <v>0</v>
      </c>
      <c r="U18" s="4">
        <f>IFERROR(VLOOKUP(MATCH($B18,INDEX('Race Resuts'!$A$2:$W$23,0,MATCH(U$1,'Race Resuts'!$A$1:$W$1,0)),0),'Points Refrence'!$A$2:$B$11,2,FALSE),0)</f>
        <v>0</v>
      </c>
      <c r="V18" s="4">
        <f>IFERROR(VLOOKUP(MATCH($B18,INDEX('Race Resuts'!$A$2:$W$23,0,MATCH(V$1,'Race Resuts'!$A$1:$W$1,0)),0),'Points Refrence'!$A$2:$B$11,2,FALSE),0)</f>
        <v>0</v>
      </c>
      <c r="W18" s="4">
        <f>IFERROR(VLOOKUP(MATCH($B18,INDEX('Race Resuts'!$A$2:$W$23,0,MATCH(W$1,'Race Resuts'!$A$1:$W$1,0)),0),'Points Refrence'!$A$2:$B$11,2,FALSE),0)</f>
        <v>0</v>
      </c>
      <c r="X18" s="4">
        <f>IFERROR(VLOOKUP(MATCH($B18,INDEX('Race Resuts'!$A$2:$W$23,0,MATCH(X$1,'Race Resuts'!$A$1:$W$1,0)),0),'Points Refrence'!$A$2:$B$11,2,FALSE),0)</f>
        <v>0</v>
      </c>
      <c r="Y18" s="4">
        <f>IFERROR(VLOOKUP(MATCH($B18,INDEX('Race Resuts'!$A$2:$W$23,0,MATCH(Y$1,'Race Resuts'!$A$1:$W$1,0)),0),'Points Refrence'!$A$2:$B$11,2,FALSE),0)</f>
        <v>0</v>
      </c>
      <c r="Z18" s="4">
        <f>IFERROR(VLOOKUP(MATCH($B18,INDEX('Race Resuts'!$A$2:$W$23,0,MATCH(Z$1,'Race Resuts'!$A$1:$W$1,0)),0),'Points Refrence'!$A$2:$B$11,2,FALSE),0)</f>
        <v>0</v>
      </c>
      <c r="AA18" s="7">
        <f>RANK(AB18,$AB$2:$AB$23,0)+COUNTIF($AB$2:AB18,AB18)-1</f>
        <v>16</v>
      </c>
      <c r="AB18" s="7">
        <f t="shared" si="0"/>
        <v>5</v>
      </c>
      <c r="AD18" s="4">
        <f t="shared" si="1"/>
        <v>17</v>
      </c>
      <c r="AE18" s="4" t="str">
        <f t="shared" si="2"/>
        <v>OCO</v>
      </c>
      <c r="AF18" s="4">
        <f t="shared" si="3"/>
        <v>3</v>
      </c>
    </row>
    <row r="19" spans="1:32" ht="21.6" x14ac:dyDescent="0.4">
      <c r="A19" s="16" t="s">
        <v>89</v>
      </c>
      <c r="B19" s="16" t="s">
        <v>57</v>
      </c>
      <c r="C19" s="4">
        <f>IFERROR(VLOOKUP(MATCH($B19,INDEX('Race Resuts'!$A$2:$W$23,0,MATCH(C$1,'Race Resuts'!$A$1:$W$1,0)),0),'Points Refrence'!$A$2:$B$11,2,FALSE),0)</f>
        <v>0</v>
      </c>
      <c r="D19" s="42">
        <f>IFERROR(_xlfn.XLOOKUP(MATCH($B19,INDEX('Race Resuts'!$B$2:$W$23,0,MATCH(D$1,'Race Resuts'!$B$1:$W$1,0)),0),'Points Refrence'!$A$2:$A$11,'Points Refrence'!$B$2:$B$11,0),0)+IFERROR(_xlfn.XLOOKUP(MATCH($B19,INDEX('Sprint Race Results'!$B$2:$G$23,0,MATCH(D$1,'Sprint Race Results'!$B$1:$G$1,0)),0),'Points Refrence'!$D$2:$D$9,'Points Refrence'!$E$2:$E$9,0),0)</f>
        <v>2</v>
      </c>
      <c r="E19" s="4">
        <f>IFERROR(VLOOKUP(MATCH($B19,INDEX('Race Resuts'!$A$2:$W$23,0,MATCH(E$1,'Race Resuts'!$A$1:$W$1,0)),0),'Points Refrence'!$A$2:$B$11,2,FALSE),0)</f>
        <v>0</v>
      </c>
      <c r="F19" s="47">
        <f>IFERROR(VLOOKUP(MATCH($B19,INDEX('Race Resuts'!$A$2:$W$23,0,MATCH(F$1,'Race Resuts'!$A$1:$W$1,0)),0),'Points Refrence'!$A$2:$B$11,2,FALSE),0)</f>
        <v>0</v>
      </c>
      <c r="G19" s="47">
        <f>IFERROR(VLOOKUP(MATCH($B19,INDEX('Race Resuts'!$A$2:$W$23,0,MATCH(G$1,'Race Resuts'!$A$1:$W$1,0)),0),'Points Refrence'!$A$2:$B$11,2,FALSE),0)</f>
        <v>0</v>
      </c>
      <c r="H19" s="42">
        <f>IFERROR(VLOOKUP(MATCH($B19,INDEX('Race Resuts'!$B$2:$W$23,0,MATCH(H$1,'Race Resuts'!$B$1:$W$1,0)),0),'Points Refrence'!$A$2:$B$11,2,FALSE),0)+IFERROR(VLOOKUP(MATCH($B19,INDEX('Sprint Race Results'!$B$2:$G$23,0,MATCH(H$1,'Sprint Race Results'!$B$1:$G$1,0)),0),'Points Refrence'!$D$2:$E$9,2,FALSE),0)</f>
        <v>2</v>
      </c>
      <c r="I19" s="42">
        <f>IFERROR(VLOOKUP(MATCH($B19,INDEX('Race Resuts'!$B$2:$W$23,0,MATCH(I$1,'Race Resuts'!$B$1:$W$1,0)),0),'Points Refrence'!$A$2:$B$11,2,FALSE),0)+IFERROR(VLOOKUP(MATCH($B19,INDEX('Sprint Race Results'!$B$2:$G$23,0,MATCH(I$1,'Sprint Race Results'!$B$1:$G$1,0)),0),'Points Refrence'!$D$2:$E$9,2,FALSE),0)</f>
        <v>2</v>
      </c>
      <c r="J19" s="4">
        <f>IFERROR(VLOOKUP(MATCH($B19,INDEX('Race Resuts'!$A$2:$W$23,0,MATCH(J$1,'Race Resuts'!$A$1:$W$1,0)),0),'Points Refrence'!$A$2:$B$11,2,FALSE),0)</f>
        <v>0</v>
      </c>
      <c r="K19" s="4">
        <f>IFERROR(VLOOKUP(MATCH($B19,INDEX('Race Resuts'!$A$2:$W$23,0,MATCH(K$1,'Race Resuts'!$A$1:$W$1,0)),0),'Points Refrence'!$A$2:$B$11,2,FALSE),0)</f>
        <v>0</v>
      </c>
      <c r="L19" s="4">
        <f>IFERROR(VLOOKUP(MATCH($B19,INDEX('Race Resuts'!$A$2:$W$23,0,MATCH(L$1,'Race Resuts'!$A$1:$W$1,0)),0),'Points Refrence'!$A$2:$B$11,2,FALSE),0)</f>
        <v>0</v>
      </c>
      <c r="M19" s="42">
        <f>IFERROR(VLOOKUP(MATCH($B19,INDEX('Race Resuts'!$B$2:$W$23,0,MATCH(M$1,'Race Resuts'!$B$1:$W$1,0)),0),'Points Refrence'!$A$2:$B$11,2,FALSE),0)+IFERROR(VLOOKUP(MATCH($B19,INDEX('Sprint Race Results'!$B$2:$G$23,0,MATCH(M$1,'Sprint Race Results'!$B$1:$G$1,0)),0),'Points Refrence'!$D$2:$E$9,2,FALSE),0)</f>
        <v>0</v>
      </c>
      <c r="N19" s="4">
        <f>IFERROR(VLOOKUP(MATCH($B19,INDEX('Race Resuts'!$A$2:$W$23,0,MATCH(N$1,'Race Resuts'!$A$1:$W$1,0)),0),'Points Refrence'!$A$2:$B$11,2,FALSE),0)</f>
        <v>0</v>
      </c>
      <c r="O19" s="4">
        <f>IFERROR(VLOOKUP(MATCH($B19,INDEX('Race Resuts'!$A$2:$W$23,0,MATCH(O$1,'Race Resuts'!$A$1:$W$1,0)),0),'Points Refrence'!$A$2:$B$11,2,FALSE),0)</f>
        <v>0</v>
      </c>
      <c r="P19" s="42">
        <f>IFERROR(VLOOKUP(MATCH($B19,INDEX('Race Resuts'!$B$2:$W$23,0,MATCH(P$1,'Race Resuts'!$B$1:$W$1,0)),0),'Points Refrence'!$A$2:$B$11,2,FALSE),0)+IFERROR(VLOOKUP(MATCH($B19,INDEX('Sprint Race Results'!$B$2:$G$23,0,MATCH(P$1,'Sprint Race Results'!$B$1:$G$1,0)),0),'Points Refrence'!$D$2:$E$9,2,FALSE),0)</f>
        <v>0</v>
      </c>
      <c r="Q19" s="4">
        <f>IFERROR(VLOOKUP(MATCH($B19,INDEX('Race Resuts'!$A$2:$W$23,0,MATCH(Q$1,'Race Resuts'!$A$1:$W$1,0)),0),'Points Refrence'!$A$2:$B$11,2,FALSE),0)</f>
        <v>0</v>
      </c>
      <c r="R19" s="4">
        <f>IFERROR(VLOOKUP(MATCH($B19,INDEX('Race Resuts'!$A$2:$W$23,0,MATCH(R$1,'Race Resuts'!$A$1:$W$1,0)),0),'Points Refrence'!$A$2:$B$11,2,FALSE),0)</f>
        <v>0</v>
      </c>
      <c r="S19" s="4">
        <f>IFERROR(VLOOKUP(MATCH($B19,INDEX('Race Resuts'!$A$2:$W$23,0,MATCH(S$1,'Race Resuts'!$A$1:$W$1,0)),0),'Points Refrence'!$A$2:$B$11,2,FALSE),0)</f>
        <v>0</v>
      </c>
      <c r="T19" s="42">
        <f>IFERROR(VLOOKUP(MATCH($B19,INDEX('Race Resuts'!$B$2:$W$23,0,MATCH(T$1,'Race Resuts'!$B$1:$W$1,0)),0),'Points Refrence'!$A$2:$B$11,2,FALSE),0)+IFERROR(VLOOKUP(MATCH($B19,INDEX('Sprint Race Results'!$B$2:$G$23,0,MATCH(T$1,'Sprint Race Results'!$B$1:$G$1,0)),0),'Points Refrence'!$D$2:$E$9,2,FALSE),0)</f>
        <v>0</v>
      </c>
      <c r="U19" s="4">
        <f>IFERROR(VLOOKUP(MATCH($B19,INDEX('Race Resuts'!$A$2:$W$23,0,MATCH(U$1,'Race Resuts'!$A$1:$W$1,0)),0),'Points Refrence'!$A$2:$B$11,2,FALSE),0)</f>
        <v>0</v>
      </c>
      <c r="V19" s="4">
        <f>IFERROR(VLOOKUP(MATCH($B19,INDEX('Race Resuts'!$A$2:$W$23,0,MATCH(V$1,'Race Resuts'!$A$1:$W$1,0)),0),'Points Refrence'!$A$2:$B$11,2,FALSE),0)</f>
        <v>0</v>
      </c>
      <c r="W19" s="4">
        <f>IFERROR(VLOOKUP(MATCH($B19,INDEX('Race Resuts'!$A$2:$W$23,0,MATCH(W$1,'Race Resuts'!$A$1:$W$1,0)),0),'Points Refrence'!$A$2:$B$11,2,FALSE),0)</f>
        <v>0</v>
      </c>
      <c r="X19" s="4">
        <f>IFERROR(VLOOKUP(MATCH($B19,INDEX('Race Resuts'!$A$2:$W$23,0,MATCH(X$1,'Race Resuts'!$A$1:$W$1,0)),0),'Points Refrence'!$A$2:$B$11,2,FALSE),0)</f>
        <v>0</v>
      </c>
      <c r="Y19" s="4">
        <f>IFERROR(VLOOKUP(MATCH($B19,INDEX('Race Resuts'!$A$2:$W$23,0,MATCH(Y$1,'Race Resuts'!$A$1:$W$1,0)),0),'Points Refrence'!$A$2:$B$11,2,FALSE),0)</f>
        <v>0</v>
      </c>
      <c r="Z19" s="4">
        <f>IFERROR(VLOOKUP(MATCH($B19,INDEX('Race Resuts'!$A$2:$W$23,0,MATCH(Z$1,'Race Resuts'!$A$1:$W$1,0)),0),'Points Refrence'!$A$2:$B$11,2,FALSE),0)</f>
        <v>0</v>
      </c>
      <c r="AA19" s="7">
        <f>RANK(AB19,$AB$2:$AB$23,0)+COUNTIF($AB$2:AB19,AB19)-1</f>
        <v>15</v>
      </c>
      <c r="AB19" s="7">
        <f t="shared" si="0"/>
        <v>6</v>
      </c>
      <c r="AD19" s="4">
        <f t="shared" si="1"/>
        <v>18</v>
      </c>
      <c r="AE19" s="4" t="str">
        <f t="shared" si="2"/>
        <v>HUL</v>
      </c>
      <c r="AF19" s="4">
        <f t="shared" si="3"/>
        <v>2</v>
      </c>
    </row>
    <row r="20" spans="1:32" ht="21.6" x14ac:dyDescent="0.4">
      <c r="A20" s="10" t="s">
        <v>90</v>
      </c>
      <c r="B20" s="10" t="s">
        <v>58</v>
      </c>
      <c r="C20" s="4">
        <f>IFERROR(VLOOKUP(MATCH($B20,INDEX('Race Resuts'!$A$2:$W$23,0,MATCH(C$1,'Race Resuts'!$A$1:$W$1,0)),0),'Points Refrence'!$A$2:$B$11,2,FALSE),0)</f>
        <v>0</v>
      </c>
      <c r="D20" s="42">
        <f>IFERROR(_xlfn.XLOOKUP(MATCH($B20,INDEX('Race Resuts'!$B$2:$W$23,0,MATCH(D$1,'Race Resuts'!$B$1:$W$1,0)),0),'Points Refrence'!$A$2:$A$11,'Points Refrence'!$B$2:$B$11,0),0)+IFERROR(_xlfn.XLOOKUP(MATCH($B20,INDEX('Sprint Race Results'!$B$2:$G$23,0,MATCH(D$1,'Sprint Race Results'!$B$1:$G$1,0)),0),'Points Refrence'!$D$2:$D$9,'Points Refrence'!$E$2:$E$9,0),0)</f>
        <v>0</v>
      </c>
      <c r="E20" s="4">
        <f>IFERROR(VLOOKUP(MATCH($B20,INDEX('Race Resuts'!$A$2:$W$23,0,MATCH(E$1,'Race Resuts'!$A$1:$W$1,0)),0),'Points Refrence'!$A$2:$B$11,2,FALSE),0)</f>
        <v>0</v>
      </c>
      <c r="F20" s="47">
        <f>IFERROR(VLOOKUP(MATCH($B20,INDEX('Race Resuts'!$A$2:$W$23,0,MATCH(F$1,'Race Resuts'!$A$1:$W$1,0)),0),'Points Refrence'!$A$2:$B$11,2,FALSE),0)</f>
        <v>0</v>
      </c>
      <c r="G20" s="47">
        <f>IFERROR(VLOOKUP(MATCH($B20,INDEX('Race Resuts'!$A$2:$W$23,0,MATCH(G$1,'Race Resuts'!$A$1:$W$1,0)),0),'Points Refrence'!$A$2:$B$11,2,FALSE),0)</f>
        <v>0</v>
      </c>
      <c r="H20" s="42">
        <f>IFERROR(VLOOKUP(MATCH($B20,INDEX('Race Resuts'!$B$2:$W$23,0,MATCH(H$1,'Race Resuts'!$B$1:$W$1,0)),0),'Points Refrence'!$A$2:$B$11,2,FALSE),0)+IFERROR(VLOOKUP(MATCH($B20,INDEX('Sprint Race Results'!$B$2:$G$23,0,MATCH(H$1,'Sprint Race Results'!$B$1:$G$1,0)),0),'Points Refrence'!$D$2:$E$9,2,FALSE),0)</f>
        <v>0</v>
      </c>
      <c r="I20" s="42">
        <f>IFERROR(VLOOKUP(MATCH($B20,INDEX('Race Resuts'!$B$2:$W$23,0,MATCH(I$1,'Race Resuts'!$B$1:$W$1,0)),0),'Points Refrence'!$A$2:$B$11,2,FALSE),0)+IFERROR(VLOOKUP(MATCH($B20,INDEX('Sprint Race Results'!$B$2:$G$23,0,MATCH(I$1,'Sprint Race Results'!$B$1:$G$1,0)),0),'Points Refrence'!$D$2:$E$9,2,FALSE),0)</f>
        <v>0</v>
      </c>
      <c r="J20" s="4">
        <f>IFERROR(VLOOKUP(MATCH($B20,INDEX('Race Resuts'!$A$2:$W$23,0,MATCH(J$1,'Race Resuts'!$A$1:$W$1,0)),0),'Points Refrence'!$A$2:$B$11,2,FALSE),0)</f>
        <v>1</v>
      </c>
      <c r="K20" s="4">
        <f>IFERROR(VLOOKUP(MATCH($B20,INDEX('Race Resuts'!$A$2:$W$23,0,MATCH(K$1,'Race Resuts'!$A$1:$W$1,0)),0),'Points Refrence'!$A$2:$B$11,2,FALSE),0)</f>
        <v>0</v>
      </c>
      <c r="L20" s="4">
        <f>IFERROR(VLOOKUP(MATCH($B20,INDEX('Race Resuts'!$A$2:$W$23,0,MATCH(L$1,'Race Resuts'!$A$1:$W$1,0)),0),'Points Refrence'!$A$2:$B$11,2,FALSE),0)</f>
        <v>0</v>
      </c>
      <c r="M20" s="42">
        <f>IFERROR(VLOOKUP(MATCH($B20,INDEX('Race Resuts'!$B$2:$W$23,0,MATCH(M$1,'Race Resuts'!$B$1:$W$1,0)),0),'Points Refrence'!$A$2:$B$11,2,FALSE),0)+IFERROR(VLOOKUP(MATCH($B20,INDEX('Sprint Race Results'!$B$2:$G$23,0,MATCH(M$1,'Sprint Race Results'!$B$1:$G$1,0)),0),'Points Refrence'!$D$2:$E$9,2,FALSE),0)</f>
        <v>0</v>
      </c>
      <c r="N20" s="4">
        <f>IFERROR(VLOOKUP(MATCH($B20,INDEX('Race Resuts'!$A$2:$W$23,0,MATCH(N$1,'Race Resuts'!$A$1:$W$1,0)),0),'Points Refrence'!$A$2:$B$11,2,FALSE),0)</f>
        <v>0</v>
      </c>
      <c r="O20" s="4">
        <f>IFERROR(VLOOKUP(MATCH($B20,INDEX('Race Resuts'!$A$2:$W$23,0,MATCH(O$1,'Race Resuts'!$A$1:$W$1,0)),0),'Points Refrence'!$A$2:$B$11,2,FALSE),0)</f>
        <v>0</v>
      </c>
      <c r="P20" s="42">
        <f>IFERROR(VLOOKUP(MATCH($B20,INDEX('Race Resuts'!$B$2:$W$23,0,MATCH(P$1,'Race Resuts'!$B$1:$W$1,0)),0),'Points Refrence'!$A$2:$B$11,2,FALSE),0)+IFERROR(VLOOKUP(MATCH($B20,INDEX('Sprint Race Results'!$B$2:$G$23,0,MATCH(P$1,'Sprint Race Results'!$B$1:$G$1,0)),0),'Points Refrence'!$D$2:$E$9,2,FALSE),0)</f>
        <v>0</v>
      </c>
      <c r="Q20" s="4">
        <f>IFERROR(VLOOKUP(MATCH($B20,INDEX('Race Resuts'!$A$2:$W$23,0,MATCH(Q$1,'Race Resuts'!$A$1:$W$1,0)),0),'Points Refrence'!$A$2:$B$11,2,FALSE),0)</f>
        <v>0</v>
      </c>
      <c r="R20" s="4">
        <f>IFERROR(VLOOKUP(MATCH($B20,INDEX('Race Resuts'!$A$2:$W$23,0,MATCH(R$1,'Race Resuts'!$A$1:$W$1,0)),0),'Points Refrence'!$A$2:$B$11,2,FALSE),0)</f>
        <v>0</v>
      </c>
      <c r="S20" s="4">
        <f>IFERROR(VLOOKUP(MATCH($B20,INDEX('Race Resuts'!$A$2:$W$23,0,MATCH(S$1,'Race Resuts'!$A$1:$W$1,0)),0),'Points Refrence'!$A$2:$B$11,2,FALSE),0)</f>
        <v>0</v>
      </c>
      <c r="T20" s="42">
        <f>IFERROR(VLOOKUP(MATCH($B20,INDEX('Race Resuts'!$B$2:$W$23,0,MATCH(T$1,'Race Resuts'!$B$1:$W$1,0)),0),'Points Refrence'!$A$2:$B$11,2,FALSE),0)+IFERROR(VLOOKUP(MATCH($B20,INDEX('Sprint Race Results'!$B$2:$G$23,0,MATCH(T$1,'Sprint Race Results'!$B$1:$G$1,0)),0),'Points Refrence'!$D$2:$E$9,2,FALSE),0)</f>
        <v>0</v>
      </c>
      <c r="U20" s="4">
        <f>IFERROR(VLOOKUP(MATCH($B20,INDEX('Race Resuts'!$A$2:$W$23,0,MATCH(U$1,'Race Resuts'!$A$1:$W$1,0)),0),'Points Refrence'!$A$2:$B$11,2,FALSE),0)</f>
        <v>0</v>
      </c>
      <c r="V20" s="4">
        <f>IFERROR(VLOOKUP(MATCH($B20,INDEX('Race Resuts'!$A$2:$W$23,0,MATCH(V$1,'Race Resuts'!$A$1:$W$1,0)),0),'Points Refrence'!$A$2:$B$11,2,FALSE),0)</f>
        <v>0</v>
      </c>
      <c r="W20" s="4">
        <f>IFERROR(VLOOKUP(MATCH($B20,INDEX('Race Resuts'!$A$2:$W$23,0,MATCH(W$1,'Race Resuts'!$A$1:$W$1,0)),0),'Points Refrence'!$A$2:$B$11,2,FALSE),0)</f>
        <v>0</v>
      </c>
      <c r="X20" s="4">
        <f>IFERROR(VLOOKUP(MATCH($B20,INDEX('Race Resuts'!$A$2:$W$23,0,MATCH(X$1,'Race Resuts'!$A$1:$W$1,0)),0),'Points Refrence'!$A$2:$B$11,2,FALSE),0)</f>
        <v>0</v>
      </c>
      <c r="Y20" s="4">
        <f>IFERROR(VLOOKUP(MATCH($B20,INDEX('Race Resuts'!$A$2:$W$23,0,MATCH(Y$1,'Race Resuts'!$A$1:$W$1,0)),0),'Points Refrence'!$A$2:$B$11,2,FALSE),0)</f>
        <v>0</v>
      </c>
      <c r="Z20" s="4">
        <f>IFERROR(VLOOKUP(MATCH($B20,INDEX('Race Resuts'!$A$2:$W$23,0,MATCH(Z$1,'Race Resuts'!$A$1:$W$1,0)),0),'Points Refrence'!$A$2:$B$11,2,FALSE),0)</f>
        <v>0</v>
      </c>
      <c r="AA20" s="7">
        <f>RANK(AB20,$AB$2:$AB$23,0)+COUNTIF($AB$2:AB20,AB20)-1</f>
        <v>19</v>
      </c>
      <c r="AB20" s="7">
        <f t="shared" si="0"/>
        <v>1</v>
      </c>
      <c r="AD20" s="4">
        <f t="shared" si="1"/>
        <v>19</v>
      </c>
      <c r="AE20" s="4" t="str">
        <f t="shared" si="2"/>
        <v>ALO</v>
      </c>
      <c r="AF20" s="4">
        <f t="shared" si="3"/>
        <v>1</v>
      </c>
    </row>
    <row r="21" spans="1:32" ht="21.6" x14ac:dyDescent="0.4">
      <c r="A21" s="10" t="s">
        <v>91</v>
      </c>
      <c r="B21" s="10" t="s">
        <v>59</v>
      </c>
      <c r="C21" s="4">
        <f>IFERROR(VLOOKUP(MATCH($B21,INDEX('Race Resuts'!$A$2:$W$23,0,MATCH(C$1,'Race Resuts'!$A$1:$W$1,0)),0),'Points Refrence'!$A$2:$B$11,2,FALSE),0)</f>
        <v>0</v>
      </c>
      <c r="D21" s="42">
        <f>IFERROR(_xlfn.XLOOKUP(MATCH($B21,INDEX('Race Resuts'!$B$2:$W$23,0,MATCH(D$1,'Race Resuts'!$B$1:$W$1,0)),0),'Points Refrence'!$A$2:$A$11,'Points Refrence'!$B$2:$B$11,0),0)+IFERROR(_xlfn.XLOOKUP(MATCH($B21,INDEX('Sprint Race Results'!$B$2:$G$23,0,MATCH(D$1,'Sprint Race Results'!$B$1:$G$1,0)),0),'Points Refrence'!$D$2:$D$9,'Points Refrence'!$E$2:$E$9,0),0)</f>
        <v>0</v>
      </c>
      <c r="E21" s="4">
        <f>IFERROR(VLOOKUP(MATCH($B21,INDEX('Race Resuts'!$A$2:$W$23,0,MATCH(E$1,'Race Resuts'!$A$1:$W$1,0)),0),'Points Refrence'!$A$2:$B$11,2,FALSE),0)</f>
        <v>0</v>
      </c>
      <c r="F21" s="47">
        <f>IFERROR(VLOOKUP(MATCH($B21,INDEX('Race Resuts'!$A$2:$W$23,0,MATCH(F$1,'Race Resuts'!$A$1:$W$1,0)),0),'Points Refrence'!$A$2:$B$11,2,FALSE),0)</f>
        <v>0</v>
      </c>
      <c r="G21" s="47">
        <f>IFERROR(VLOOKUP(MATCH($B21,INDEX('Race Resuts'!$A$2:$W$23,0,MATCH(G$1,'Race Resuts'!$A$1:$W$1,0)),0),'Points Refrence'!$A$2:$B$11,2,FALSE),0)</f>
        <v>0</v>
      </c>
      <c r="H21" s="42">
        <f>IFERROR(VLOOKUP(MATCH($B21,INDEX('Race Resuts'!$B$2:$W$23,0,MATCH(H$1,'Race Resuts'!$B$1:$W$1,0)),0),'Points Refrence'!$A$2:$B$11,2,FALSE),0)+IFERROR(VLOOKUP(MATCH($B21,INDEX('Sprint Race Results'!$B$2:$G$23,0,MATCH(H$1,'Sprint Race Results'!$B$1:$G$1,0)),0),'Points Refrence'!$D$2:$E$9,2,FALSE),0)</f>
        <v>0</v>
      </c>
      <c r="I21" s="42">
        <f>IFERROR(VLOOKUP(MATCH($B21,INDEX('Race Resuts'!$B$2:$W$23,0,MATCH(I$1,'Race Resuts'!$B$1:$W$1,0)),0),'Points Refrence'!$A$2:$B$11,2,FALSE),0)+IFERROR(VLOOKUP(MATCH($B21,INDEX('Sprint Race Results'!$B$2:$G$23,0,MATCH(I$1,'Sprint Race Results'!$B$1:$G$1,0)),0),'Points Refrence'!$D$2:$E$9,2,FALSE),0)</f>
        <v>0</v>
      </c>
      <c r="J21" s="4">
        <f>IFERROR(VLOOKUP(MATCH($B21,INDEX('Race Resuts'!$A$2:$W$23,0,MATCH(J$1,'Race Resuts'!$A$1:$W$1,0)),0),'Points Refrence'!$A$2:$B$11,2,FALSE),0)</f>
        <v>0</v>
      </c>
      <c r="K21" s="4">
        <f>IFERROR(VLOOKUP(MATCH($B21,INDEX('Race Resuts'!$A$2:$W$23,0,MATCH(K$1,'Race Resuts'!$A$1:$W$1,0)),0),'Points Refrence'!$A$2:$B$11,2,FALSE),0)</f>
        <v>0</v>
      </c>
      <c r="L21" s="4">
        <f>IFERROR(VLOOKUP(MATCH($B21,INDEX('Race Resuts'!$A$2:$W$23,0,MATCH(L$1,'Race Resuts'!$A$1:$W$1,0)),0),'Points Refrence'!$A$2:$B$11,2,FALSE),0)</f>
        <v>0</v>
      </c>
      <c r="M21" s="42">
        <f>IFERROR(VLOOKUP(MATCH($B21,INDEX('Race Resuts'!$B$2:$W$23,0,MATCH(M$1,'Race Resuts'!$B$1:$W$1,0)),0),'Points Refrence'!$A$2:$B$11,2,FALSE),0)+IFERROR(VLOOKUP(MATCH($B21,INDEX('Sprint Race Results'!$B$2:$G$23,0,MATCH(M$1,'Sprint Race Results'!$B$1:$G$1,0)),0),'Points Refrence'!$D$2:$E$9,2,FALSE),0)</f>
        <v>0</v>
      </c>
      <c r="N21" s="4">
        <f>IFERROR(VLOOKUP(MATCH($B21,INDEX('Race Resuts'!$A$2:$W$23,0,MATCH(N$1,'Race Resuts'!$A$1:$W$1,0)),0),'Points Refrence'!$A$2:$B$11,2,FALSE),0)</f>
        <v>0</v>
      </c>
      <c r="O21" s="4">
        <f>IFERROR(VLOOKUP(MATCH($B21,INDEX('Race Resuts'!$A$2:$W$23,0,MATCH(O$1,'Race Resuts'!$A$1:$W$1,0)),0),'Points Refrence'!$A$2:$B$11,2,FALSE),0)</f>
        <v>0</v>
      </c>
      <c r="P21" s="42">
        <f>IFERROR(VLOOKUP(MATCH($B21,INDEX('Race Resuts'!$B$2:$W$23,0,MATCH(P$1,'Race Resuts'!$B$1:$W$1,0)),0),'Points Refrence'!$A$2:$B$11,2,FALSE),0)+IFERROR(VLOOKUP(MATCH($B21,INDEX('Sprint Race Results'!$B$2:$G$23,0,MATCH(P$1,'Sprint Race Results'!$B$1:$G$1,0)),0),'Points Refrence'!$D$2:$E$9,2,FALSE),0)</f>
        <v>0</v>
      </c>
      <c r="Q21" s="4">
        <f>IFERROR(VLOOKUP(MATCH($B21,INDEX('Race Resuts'!$A$2:$W$23,0,MATCH(Q$1,'Race Resuts'!$A$1:$W$1,0)),0),'Points Refrence'!$A$2:$B$11,2,FALSE),0)</f>
        <v>0</v>
      </c>
      <c r="R21" s="4">
        <f>IFERROR(VLOOKUP(MATCH($B21,INDEX('Race Resuts'!$A$2:$W$23,0,MATCH(R$1,'Race Resuts'!$A$1:$W$1,0)),0),'Points Refrence'!$A$2:$B$11,2,FALSE),0)</f>
        <v>0</v>
      </c>
      <c r="S21" s="4">
        <f>IFERROR(VLOOKUP(MATCH($B21,INDEX('Race Resuts'!$A$2:$W$23,0,MATCH(S$1,'Race Resuts'!$A$1:$W$1,0)),0),'Points Refrence'!$A$2:$B$11,2,FALSE),0)</f>
        <v>0</v>
      </c>
      <c r="T21" s="42">
        <f>IFERROR(VLOOKUP(MATCH($B21,INDEX('Race Resuts'!$B$2:$W$23,0,MATCH(T$1,'Race Resuts'!$B$1:$W$1,0)),0),'Points Refrence'!$A$2:$B$11,2,FALSE),0)+IFERROR(VLOOKUP(MATCH($B21,INDEX('Sprint Race Results'!$B$2:$G$23,0,MATCH(T$1,'Sprint Race Results'!$B$1:$G$1,0)),0),'Points Refrence'!$D$2:$E$9,2,FALSE),0)</f>
        <v>0</v>
      </c>
      <c r="U21" s="4">
        <f>IFERROR(VLOOKUP(MATCH($B21,INDEX('Race Resuts'!$A$2:$W$23,0,MATCH(U$1,'Race Resuts'!$A$1:$W$1,0)),0),'Points Refrence'!$A$2:$B$11,2,FALSE),0)</f>
        <v>0</v>
      </c>
      <c r="V21" s="4">
        <f>IFERROR(VLOOKUP(MATCH($B21,INDEX('Race Resuts'!$A$2:$W$23,0,MATCH(V$1,'Race Resuts'!$A$1:$W$1,0)),0),'Points Refrence'!$A$2:$B$11,2,FALSE),0)</f>
        <v>0</v>
      </c>
      <c r="W21" s="4">
        <f>IFERROR(VLOOKUP(MATCH($B21,INDEX('Race Resuts'!$A$2:$W$23,0,MATCH(W$1,'Race Resuts'!$A$1:$W$1,0)),0),'Points Refrence'!$A$2:$B$11,2,FALSE),0)</f>
        <v>0</v>
      </c>
      <c r="X21" s="4">
        <f>IFERROR(VLOOKUP(MATCH($B21,INDEX('Race Resuts'!$A$2:$W$23,0,MATCH(X$1,'Race Resuts'!$A$1:$W$1,0)),0),'Points Refrence'!$A$2:$B$11,2,FALSE),0)</f>
        <v>0</v>
      </c>
      <c r="Y21" s="4">
        <f>IFERROR(VLOOKUP(MATCH($B21,INDEX('Race Resuts'!$A$2:$W$23,0,MATCH(Y$1,'Race Resuts'!$A$1:$W$1,0)),0),'Points Refrence'!$A$2:$B$11,2,FALSE),0)</f>
        <v>0</v>
      </c>
      <c r="Z21" s="4">
        <f>IFERROR(VLOOKUP(MATCH($B21,INDEX('Race Resuts'!$A$2:$W$23,0,MATCH(Z$1,'Race Resuts'!$A$1:$W$1,0)),0),'Points Refrence'!$A$2:$B$11,2,FALSE),0)</f>
        <v>0</v>
      </c>
      <c r="AA21" s="7">
        <f>RANK(AB21,$AB$2:$AB$23,0)+COUNTIF($AB$2:AB21,AB21)-1</f>
        <v>20</v>
      </c>
      <c r="AB21" s="7">
        <f t="shared" si="0"/>
        <v>0</v>
      </c>
      <c r="AD21" s="4">
        <f t="shared" si="1"/>
        <v>20</v>
      </c>
      <c r="AE21" s="4" t="str">
        <f t="shared" si="2"/>
        <v>STR</v>
      </c>
      <c r="AF21" s="4">
        <f t="shared" si="3"/>
        <v>0</v>
      </c>
    </row>
    <row r="22" spans="1:32" ht="21.6" x14ac:dyDescent="0.4">
      <c r="A22" s="19" t="s">
        <v>92</v>
      </c>
      <c r="B22" s="19" t="s">
        <v>55</v>
      </c>
      <c r="C22" s="4">
        <f>IFERROR(VLOOKUP(MATCH($B22,INDEX('Race Resuts'!$A$2:$W$23,0,MATCH(C$1,'Race Resuts'!$A$1:$W$1,0)),0),'Points Refrence'!$A$2:$B$11,2,FALSE),0)</f>
        <v>0</v>
      </c>
      <c r="D22" s="42">
        <f>IFERROR(_xlfn.XLOOKUP(MATCH($B22,INDEX('Race Resuts'!$B$2:$W$23,0,MATCH(D$1,'Race Resuts'!$B$1:$W$1,0)),0),'Points Refrence'!$A$2:$A$11,'Points Refrence'!$B$2:$B$11,0),0)+IFERROR(_xlfn.XLOOKUP(MATCH($B22,INDEX('Sprint Race Results'!$B$2:$G$23,0,MATCH(D$1,'Sprint Race Results'!$B$1:$G$1,0)),0),'Points Refrence'!$D$2:$D$9,'Points Refrence'!$E$2:$E$9,0),0)</f>
        <v>0</v>
      </c>
      <c r="E22" s="4">
        <f>IFERROR(VLOOKUP(MATCH($B22,INDEX('Race Resuts'!$A$2:$W$23,0,MATCH(E$1,'Race Resuts'!$A$1:$W$1,0)),0),'Points Refrence'!$A$2:$B$11,2,FALSE),0)</f>
        <v>0</v>
      </c>
      <c r="F22" s="47">
        <f>IFERROR(VLOOKUP(MATCH($B22,INDEX('Race Resuts'!$A$2:$W$23,0,MATCH(F$1,'Race Resuts'!$A$1:$W$1,0)),0),'Points Refrence'!$A$2:$B$11,2,FALSE),0)</f>
        <v>0</v>
      </c>
      <c r="G22" s="47">
        <f>IFERROR(VLOOKUP(MATCH($B22,INDEX('Race Resuts'!$A$2:$W$23,0,MATCH(G$1,'Race Resuts'!$A$1:$W$1,0)),0),'Points Refrence'!$A$2:$B$11,2,FALSE),0)</f>
        <v>0</v>
      </c>
      <c r="H22" s="42">
        <f>IFERROR(VLOOKUP(MATCH($B22,INDEX('Race Resuts'!$B$2:$W$23,0,MATCH(H$1,'Race Resuts'!$B$1:$W$1,0)),0),'Points Refrence'!$A$2:$B$11,2,FALSE),0)+IFERROR(VLOOKUP(MATCH($B22,INDEX('Sprint Race Results'!$B$2:$G$23,0,MATCH(H$1,'Sprint Race Results'!$B$1:$G$1,0)),0),'Points Refrence'!$D$2:$E$9,2,FALSE),0)</f>
        <v>0</v>
      </c>
      <c r="I22" s="42">
        <f>IFERROR(VLOOKUP(MATCH($B22,INDEX('Race Resuts'!$B$2:$W$23,0,MATCH(I$1,'Race Resuts'!$B$1:$W$1,0)),0),'Points Refrence'!$A$2:$B$11,2,FALSE),0)+IFERROR(VLOOKUP(MATCH($B22,INDEX('Sprint Race Results'!$B$2:$G$23,0,MATCH(I$1,'Sprint Race Results'!$B$1:$G$1,0)),0),'Points Refrence'!$D$2:$E$9,2,FALSE),0)</f>
        <v>0</v>
      </c>
      <c r="J22" s="4">
        <f>IFERROR(VLOOKUP(MATCH($B22,INDEX('Race Resuts'!$A$2:$W$23,0,MATCH(J$1,'Race Resuts'!$A$1:$W$1,0)),0),'Points Refrence'!$A$2:$B$11,2,FALSE),0)</f>
        <v>0</v>
      </c>
      <c r="K22" s="4">
        <f>IFERROR(VLOOKUP(MATCH($B22,INDEX('Race Resuts'!$A$2:$W$23,0,MATCH(K$1,'Race Resuts'!$A$1:$W$1,0)),0),'Points Refrence'!$A$2:$B$11,2,FALSE),0)</f>
        <v>0</v>
      </c>
      <c r="L22" s="4">
        <f>IFERROR(VLOOKUP(MATCH($B22,INDEX('Race Resuts'!$A$2:$W$23,0,MATCH(L$1,'Race Resuts'!$A$1:$W$1,0)),0),'Points Refrence'!$A$2:$B$11,2,FALSE),0)</f>
        <v>0</v>
      </c>
      <c r="M22" s="42">
        <f>IFERROR(VLOOKUP(MATCH($B22,INDEX('Race Resuts'!$B$2:$W$23,0,MATCH(M$1,'Race Resuts'!$B$1:$W$1,0)),0),'Points Refrence'!$A$2:$B$11,2,FALSE),0)+IFERROR(VLOOKUP(MATCH($B22,INDEX('Sprint Race Results'!$B$2:$G$23,0,MATCH(M$1,'Sprint Race Results'!$B$1:$G$1,0)),0),'Points Refrence'!$D$2:$E$9,2,FALSE),0)</f>
        <v>0</v>
      </c>
      <c r="N22" s="4">
        <f>IFERROR(VLOOKUP(MATCH($B22,INDEX('Race Resuts'!$A$2:$W$23,0,MATCH(N$1,'Race Resuts'!$A$1:$W$1,0)),0),'Points Refrence'!$A$2:$B$11,2,FALSE),0)</f>
        <v>0</v>
      </c>
      <c r="O22" s="4">
        <f>IFERROR(VLOOKUP(MATCH($B22,INDEX('Race Resuts'!$A$2:$W$23,0,MATCH(O$1,'Race Resuts'!$A$1:$W$1,0)),0),'Points Refrence'!$A$2:$B$11,2,FALSE),0)</f>
        <v>0</v>
      </c>
      <c r="P22" s="42">
        <f>IFERROR(VLOOKUP(MATCH($B22,INDEX('Race Resuts'!$B$2:$W$23,0,MATCH(P$1,'Race Resuts'!$B$1:$W$1,0)),0),'Points Refrence'!$A$2:$B$11,2,FALSE),0)+IFERROR(VLOOKUP(MATCH($B22,INDEX('Sprint Race Results'!$B$2:$G$23,0,MATCH(P$1,'Sprint Race Results'!$B$1:$G$1,0)),0),'Points Refrence'!$D$2:$E$9,2,FALSE),0)</f>
        <v>0</v>
      </c>
      <c r="Q22" s="4">
        <f>IFERROR(VLOOKUP(MATCH($B22,INDEX('Race Resuts'!$A$2:$W$23,0,MATCH(Q$1,'Race Resuts'!$A$1:$W$1,0)),0),'Points Refrence'!$A$2:$B$11,2,FALSE),0)</f>
        <v>0</v>
      </c>
      <c r="R22" s="4">
        <f>IFERROR(VLOOKUP(MATCH($B22,INDEX('Race Resuts'!$A$2:$W$23,0,MATCH(R$1,'Race Resuts'!$A$1:$W$1,0)),0),'Points Refrence'!$A$2:$B$11,2,FALSE),0)</f>
        <v>0</v>
      </c>
      <c r="S22" s="4">
        <f>IFERROR(VLOOKUP(MATCH($B22,INDEX('Race Resuts'!$A$2:$W$23,0,MATCH(S$1,'Race Resuts'!$A$1:$W$1,0)),0),'Points Refrence'!$A$2:$B$11,2,FALSE),0)</f>
        <v>0</v>
      </c>
      <c r="T22" s="42">
        <f>IFERROR(VLOOKUP(MATCH($B22,INDEX('Race Resuts'!$B$2:$W$23,0,MATCH(T$1,'Race Resuts'!$B$1:$W$1,0)),0),'Points Refrence'!$A$2:$B$11,2,FALSE),0)+IFERROR(VLOOKUP(MATCH($B22,INDEX('Sprint Race Results'!$B$2:$G$23,0,MATCH(T$1,'Sprint Race Results'!$B$1:$G$1,0)),0),'Points Refrence'!$D$2:$E$9,2,FALSE),0)</f>
        <v>0</v>
      </c>
      <c r="U22" s="4">
        <f>IFERROR(VLOOKUP(MATCH($B22,INDEX('Race Resuts'!$A$2:$W$23,0,MATCH(U$1,'Race Resuts'!$A$1:$W$1,0)),0),'Points Refrence'!$A$2:$B$11,2,FALSE),0)</f>
        <v>0</v>
      </c>
      <c r="V22" s="4">
        <f>IFERROR(VLOOKUP(MATCH($B22,INDEX('Race Resuts'!$A$2:$W$23,0,MATCH(V$1,'Race Resuts'!$A$1:$W$1,0)),0),'Points Refrence'!$A$2:$B$11,2,FALSE),0)</f>
        <v>0</v>
      </c>
      <c r="W22" s="4">
        <f>IFERROR(VLOOKUP(MATCH($B22,INDEX('Race Resuts'!$A$2:$W$23,0,MATCH(W$1,'Race Resuts'!$A$1:$W$1,0)),0),'Points Refrence'!$A$2:$B$11,2,FALSE),0)</f>
        <v>0</v>
      </c>
      <c r="X22" s="4">
        <f>IFERROR(VLOOKUP(MATCH($B22,INDEX('Race Resuts'!$A$2:$W$23,0,MATCH(X$1,'Race Resuts'!$A$1:$W$1,0)),0),'Points Refrence'!$A$2:$B$11,2,FALSE),0)</f>
        <v>0</v>
      </c>
      <c r="Y22" s="4">
        <f>IFERROR(VLOOKUP(MATCH($B22,INDEX('Race Resuts'!$A$2:$W$23,0,MATCH(Y$1,'Race Resuts'!$A$1:$W$1,0)),0),'Points Refrence'!$A$2:$B$11,2,FALSE),0)</f>
        <v>0</v>
      </c>
      <c r="Z22" s="4">
        <f>IFERROR(VLOOKUP(MATCH($B22,INDEX('Race Resuts'!$A$2:$W$23,0,MATCH(Z$1,'Race Resuts'!$A$1:$W$1,0)),0),'Points Refrence'!$A$2:$B$11,2,FALSE),0)</f>
        <v>0</v>
      </c>
      <c r="AA22" s="7">
        <f>RANK(AB22,$AB$2:$AB$23,0)+COUNTIF($AB$2:AB22,AB22)-1</f>
        <v>21</v>
      </c>
      <c r="AB22" s="7">
        <f t="shared" si="0"/>
        <v>0</v>
      </c>
      <c r="AD22" s="4">
        <f t="shared" si="1"/>
        <v>21</v>
      </c>
      <c r="AE22" s="4" t="str">
        <f t="shared" si="2"/>
        <v>PER</v>
      </c>
      <c r="AF22" s="4">
        <f t="shared" si="3"/>
        <v>0</v>
      </c>
    </row>
    <row r="23" spans="1:32" ht="21.6" x14ac:dyDescent="0.4">
      <c r="A23" s="19" t="s">
        <v>93</v>
      </c>
      <c r="B23" s="19" t="s">
        <v>56</v>
      </c>
      <c r="C23" s="4">
        <f>IFERROR(VLOOKUP(MATCH($B23,INDEX('Race Resuts'!$A$2:$W$23,0,MATCH(C$1,'Race Resuts'!$A$1:$W$1,0)),0),'Points Refrence'!$A$2:$B$11,2,FALSE),0)</f>
        <v>0</v>
      </c>
      <c r="D23" s="42">
        <f>IFERROR(_xlfn.XLOOKUP(MATCH($B23,INDEX('Race Resuts'!$B$2:$W$23,0,MATCH(D$1,'Race Resuts'!$B$1:$W$1,0)),0),'Points Refrence'!$A$2:$A$11,'Points Refrence'!$B$2:$B$11,0),0)+IFERROR(_xlfn.XLOOKUP(MATCH($B23,INDEX('Sprint Race Results'!$B$2:$G$23,0,MATCH(D$1,'Sprint Race Results'!$B$1:$G$1,0)),0),'Points Refrence'!$D$2:$D$9,'Points Refrence'!$E$2:$E$9,0),0)</f>
        <v>0</v>
      </c>
      <c r="E23" s="4">
        <f>IFERROR(VLOOKUP(MATCH($B23,INDEX('Race Resuts'!$A$2:$W$23,0,MATCH(E$1,'Race Resuts'!$A$1:$W$1,0)),0),'Points Refrence'!$A$2:$B$11,2,FALSE),0)</f>
        <v>0</v>
      </c>
      <c r="F23" s="47">
        <f>IFERROR(VLOOKUP(MATCH($B23,INDEX('Race Resuts'!$A$2:$W$23,0,MATCH(F$1,'Race Resuts'!$A$1:$W$1,0)),0),'Points Refrence'!$A$2:$B$11,2,FALSE),0)</f>
        <v>0</v>
      </c>
      <c r="G23" s="47">
        <f>IFERROR(VLOOKUP(MATCH($B23,INDEX('Race Resuts'!$A$2:$W$23,0,MATCH(G$1,'Race Resuts'!$A$1:$W$1,0)),0),'Points Refrence'!$A$2:$B$11,2,FALSE),0)</f>
        <v>0</v>
      </c>
      <c r="H23" s="42">
        <f>IFERROR(VLOOKUP(MATCH($B23,INDEX('Race Resuts'!$B$2:$W$23,0,MATCH(H$1,'Race Resuts'!$B$1:$W$1,0)),0),'Points Refrence'!$A$2:$B$11,2,FALSE),0)+IFERROR(VLOOKUP(MATCH($B23,INDEX('Sprint Race Results'!$B$2:$G$23,0,MATCH(H$1,'Sprint Race Results'!$B$1:$G$1,0)),0),'Points Refrence'!$D$2:$E$9,2,FALSE),0)</f>
        <v>0</v>
      </c>
      <c r="I23" s="42">
        <f>IFERROR(VLOOKUP(MATCH($B23,INDEX('Race Resuts'!$B$2:$W$23,0,MATCH(I$1,'Race Resuts'!$B$1:$W$1,0)),0),'Points Refrence'!$A$2:$B$11,2,FALSE),0)+IFERROR(VLOOKUP(MATCH($B23,INDEX('Sprint Race Results'!$B$2:$G$23,0,MATCH(I$1,'Sprint Race Results'!$B$1:$G$1,0)),0),'Points Refrence'!$D$2:$E$9,2,FALSE),0)</f>
        <v>0</v>
      </c>
      <c r="J23" s="4">
        <f>IFERROR(VLOOKUP(MATCH($B23,INDEX('Race Resuts'!$A$2:$W$23,0,MATCH(J$1,'Race Resuts'!$A$1:$W$1,0)),0),'Points Refrence'!$A$2:$B$11,2,FALSE),0)</f>
        <v>0</v>
      </c>
      <c r="K23" s="4">
        <f>IFERROR(VLOOKUP(MATCH($B23,INDEX('Race Resuts'!$A$2:$W$23,0,MATCH(K$1,'Race Resuts'!$A$1:$W$1,0)),0),'Points Refrence'!$A$2:$B$11,2,FALSE),0)</f>
        <v>0</v>
      </c>
      <c r="L23" s="4">
        <f>IFERROR(VLOOKUP(MATCH($B23,INDEX('Race Resuts'!$A$2:$W$23,0,MATCH(L$1,'Race Resuts'!$A$1:$W$1,0)),0),'Points Refrence'!$A$2:$B$11,2,FALSE),0)</f>
        <v>0</v>
      </c>
      <c r="M23" s="42">
        <f>IFERROR(VLOOKUP(MATCH($B23,INDEX('Race Resuts'!$B$2:$W$23,0,MATCH(M$1,'Race Resuts'!$B$1:$W$1,0)),0),'Points Refrence'!$A$2:$B$11,2,FALSE),0)+IFERROR(VLOOKUP(MATCH($B23,INDEX('Sprint Race Results'!$B$2:$G$23,0,MATCH(M$1,'Sprint Race Results'!$B$1:$G$1,0)),0),'Points Refrence'!$D$2:$E$9,2,FALSE),0)</f>
        <v>0</v>
      </c>
      <c r="N23" s="4">
        <f>IFERROR(VLOOKUP(MATCH($B23,INDEX('Race Resuts'!$A$2:$W$23,0,MATCH(N$1,'Race Resuts'!$A$1:$W$1,0)),0),'Points Refrence'!$A$2:$B$11,2,FALSE),0)</f>
        <v>0</v>
      </c>
      <c r="O23" s="4">
        <f>IFERROR(VLOOKUP(MATCH($B23,INDEX('Race Resuts'!$A$2:$W$23,0,MATCH(O$1,'Race Resuts'!$A$1:$W$1,0)),0),'Points Refrence'!$A$2:$B$11,2,FALSE),0)</f>
        <v>0</v>
      </c>
      <c r="P23" s="42">
        <f>IFERROR(VLOOKUP(MATCH($B23,INDEX('Race Resuts'!$B$2:$W$23,0,MATCH(P$1,'Race Resuts'!$B$1:$W$1,0)),0),'Points Refrence'!$A$2:$B$11,2,FALSE),0)+IFERROR(VLOOKUP(MATCH($B23,INDEX('Sprint Race Results'!$B$2:$G$23,0,MATCH(P$1,'Sprint Race Results'!$B$1:$G$1,0)),0),'Points Refrence'!$D$2:$E$9,2,FALSE),0)</f>
        <v>0</v>
      </c>
      <c r="Q23" s="4">
        <f>IFERROR(VLOOKUP(MATCH($B23,INDEX('Race Resuts'!$A$2:$W$23,0,MATCH(Q$1,'Race Resuts'!$A$1:$W$1,0)),0),'Points Refrence'!$A$2:$B$11,2,FALSE),0)</f>
        <v>0</v>
      </c>
      <c r="R23" s="4">
        <f>IFERROR(VLOOKUP(MATCH($B23,INDEX('Race Resuts'!$A$2:$W$23,0,MATCH(R$1,'Race Resuts'!$A$1:$W$1,0)),0),'Points Refrence'!$A$2:$B$11,2,FALSE),0)</f>
        <v>0</v>
      </c>
      <c r="S23" s="4">
        <f>IFERROR(VLOOKUP(MATCH($B23,INDEX('Race Resuts'!$A$2:$W$23,0,MATCH(S$1,'Race Resuts'!$A$1:$W$1,0)),0),'Points Refrence'!$A$2:$B$11,2,FALSE),0)</f>
        <v>0</v>
      </c>
      <c r="T23" s="42">
        <f>IFERROR(VLOOKUP(MATCH($B23,INDEX('Race Resuts'!$B$2:$W$23,0,MATCH(T$1,'Race Resuts'!$B$1:$W$1,0)),0),'Points Refrence'!$A$2:$B$11,2,FALSE),0)+IFERROR(VLOOKUP(MATCH($B23,INDEX('Sprint Race Results'!$B$2:$G$23,0,MATCH(T$1,'Sprint Race Results'!$B$1:$G$1,0)),0),'Points Refrence'!$D$2:$E$9,2,FALSE),0)</f>
        <v>0</v>
      </c>
      <c r="U23" s="4">
        <f>IFERROR(VLOOKUP(MATCH($B23,INDEX('Race Resuts'!$A$2:$W$23,0,MATCH(U$1,'Race Resuts'!$A$1:$W$1,0)),0),'Points Refrence'!$A$2:$B$11,2,FALSE),0)</f>
        <v>0</v>
      </c>
      <c r="V23" s="4">
        <f>IFERROR(VLOOKUP(MATCH($B23,INDEX('Race Resuts'!$A$2:$W$23,0,MATCH(V$1,'Race Resuts'!$A$1:$W$1,0)),0),'Points Refrence'!$A$2:$B$11,2,FALSE),0)</f>
        <v>0</v>
      </c>
      <c r="W23" s="4">
        <f>IFERROR(VLOOKUP(MATCH($B23,INDEX('Race Resuts'!$A$2:$W$23,0,MATCH(W$1,'Race Resuts'!$A$1:$W$1,0)),0),'Points Refrence'!$A$2:$B$11,2,FALSE),0)</f>
        <v>0</v>
      </c>
      <c r="X23" s="4">
        <f>IFERROR(VLOOKUP(MATCH($B23,INDEX('Race Resuts'!$A$2:$W$23,0,MATCH(X$1,'Race Resuts'!$A$1:$W$1,0)),0),'Points Refrence'!$A$2:$B$11,2,FALSE),0)</f>
        <v>0</v>
      </c>
      <c r="Y23" s="4">
        <f>IFERROR(VLOOKUP(MATCH($B23,INDEX('Race Resuts'!$A$2:$W$23,0,MATCH(Y$1,'Race Resuts'!$A$1:$W$1,0)),0),'Points Refrence'!$A$2:$B$11,2,FALSE),0)</f>
        <v>0</v>
      </c>
      <c r="Z23" s="4">
        <f>IFERROR(VLOOKUP(MATCH($B23,INDEX('Race Resuts'!$A$2:$W$23,0,MATCH(Z$1,'Race Resuts'!$A$1:$W$1,0)),0),'Points Refrence'!$A$2:$B$11,2,FALSE),0)</f>
        <v>0</v>
      </c>
      <c r="AA23" s="7">
        <f>RANK(AB23,$AB$2:$AB$23,0)+COUNTIF($AB$2:AB23,AB23)-1</f>
        <v>22</v>
      </c>
      <c r="AB23" s="7">
        <f t="shared" si="0"/>
        <v>0</v>
      </c>
      <c r="AD23" s="4">
        <f t="shared" si="1"/>
        <v>22</v>
      </c>
      <c r="AE23" s="4" t="str">
        <f t="shared" si="2"/>
        <v>BOT</v>
      </c>
      <c r="AF23" s="4">
        <f t="shared" si="3"/>
        <v>0</v>
      </c>
    </row>
    <row r="24" spans="1:32" ht="21.6" x14ac:dyDescent="0.4">
      <c r="A24" s="4"/>
      <c r="B24" s="4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55555-E77E-4DB0-AE56-B9888F55BFF5}">
  <sheetPr>
    <tabColor rgb="FFFFFF00"/>
  </sheetPr>
  <dimension ref="A1:AF12"/>
  <sheetViews>
    <sheetView zoomScale="60" zoomScaleNormal="60" workbookViewId="0">
      <selection activeCell="H26" sqref="H26"/>
    </sheetView>
  </sheetViews>
  <sheetFormatPr defaultRowHeight="14.4" x14ac:dyDescent="0.3"/>
  <cols>
    <col min="1" max="1" width="19" customWidth="1"/>
    <col min="2" max="29" width="20.77734375" customWidth="1"/>
    <col min="30" max="30" width="20.88671875" customWidth="1"/>
    <col min="32" max="32" width="38.44140625" style="18" customWidth="1"/>
  </cols>
  <sheetData>
    <row r="1" spans="1:32" ht="24.6" x14ac:dyDescent="0.4">
      <c r="A1" s="22"/>
      <c r="B1" s="23" t="s">
        <v>16</v>
      </c>
      <c r="C1" s="23" t="s">
        <v>17</v>
      </c>
      <c r="D1" s="23" t="s">
        <v>18</v>
      </c>
      <c r="E1" s="49" t="s">
        <v>19</v>
      </c>
      <c r="F1" s="49" t="s">
        <v>20</v>
      </c>
      <c r="G1" s="23" t="s">
        <v>21</v>
      </c>
      <c r="H1" s="23" t="s">
        <v>22</v>
      </c>
      <c r="I1" s="23" t="s">
        <v>23</v>
      </c>
      <c r="J1" s="23" t="s">
        <v>24</v>
      </c>
      <c r="K1" s="23" t="s">
        <v>25</v>
      </c>
      <c r="L1" s="23" t="s">
        <v>26</v>
      </c>
      <c r="M1" s="23" t="s">
        <v>27</v>
      </c>
      <c r="N1" s="23" t="s">
        <v>28</v>
      </c>
      <c r="O1" s="23" t="s">
        <v>29</v>
      </c>
      <c r="P1" s="23" t="s">
        <v>30</v>
      </c>
      <c r="Q1" s="23" t="s">
        <v>31</v>
      </c>
      <c r="R1" s="23" t="s">
        <v>32</v>
      </c>
      <c r="S1" s="23" t="s">
        <v>33</v>
      </c>
      <c r="T1" s="23" t="s">
        <v>34</v>
      </c>
      <c r="U1" s="23" t="s">
        <v>35</v>
      </c>
      <c r="V1" s="23" t="s">
        <v>36</v>
      </c>
      <c r="W1" s="23" t="s">
        <v>37</v>
      </c>
      <c r="X1" s="23" t="s">
        <v>38</v>
      </c>
      <c r="Y1" s="23" t="s">
        <v>39</v>
      </c>
      <c r="Z1" s="37" t="s">
        <v>63</v>
      </c>
      <c r="AB1" s="38" t="s">
        <v>0</v>
      </c>
      <c r="AC1" s="20" t="s">
        <v>68</v>
      </c>
      <c r="AD1" s="20" t="s">
        <v>63</v>
      </c>
      <c r="AF1" s="40" t="s">
        <v>70</v>
      </c>
    </row>
    <row r="2" spans="1:32" ht="21.6" x14ac:dyDescent="0.4">
      <c r="A2" s="24" t="s">
        <v>4</v>
      </c>
      <c r="B2" s="25">
        <f>IFERROR(INDEX('Drivers'' Standings'!$C:$Z,MATCH("RUS",'Drivers'' Standings'!$B:$B,0),MATCH(B$1,'Drivers'' Standings'!$C$1:$Z$1,0))+INDEX('Drivers'' Standings'!$C:$Z,MATCH("ANT",'Drivers'' Standings'!$B:$B,0),MATCH(B$1,'Drivers'' Standings'!$C$1:$Z$1,0)),0)</f>
        <v>43</v>
      </c>
      <c r="C2" s="25">
        <f>IFERROR(INDEX('Drivers'' Standings'!$C:$Z,MATCH("RUS",'Drivers'' Standings'!$B:$B,0),MATCH(C$1,'Drivers'' Standings'!$C$1:$Z$1,0))+INDEX('Drivers'' Standings'!$C:$Z,MATCH("ANT",'Drivers'' Standings'!$B:$B,0),MATCH(C$1,'Drivers'' Standings'!$C$1:$Z$1,0)),0)</f>
        <v>55</v>
      </c>
      <c r="D2" s="25">
        <f>IFERROR(INDEX('Drivers'' Standings'!$C:$Z,MATCH("RUS",'Drivers'' Standings'!$B:$B,0),MATCH(D$1,'Drivers'' Standings'!$C$1:$Z$1,0))+INDEX('Drivers'' Standings'!$C:$Z,MATCH("ANT",'Drivers'' Standings'!$B:$B,0),MATCH(D$1,'Drivers'' Standings'!$C$1:$Z$1,0)),0)</f>
        <v>37</v>
      </c>
      <c r="E2" s="50">
        <f>IFERROR(INDEX('Drivers'' Standings'!$C:$Z,MATCH("RUS",'Drivers'' Standings'!$B:$B,0),MATCH(E$1,'Drivers'' Standings'!$C$1:$Z$1,0))+INDEX('Drivers'' Standings'!$C:$Z,MATCH("ANT",'Drivers'' Standings'!$B:$B,0),MATCH(E$1,'Drivers'' Standings'!$C$1:$Z$1,0)),0)</f>
        <v>0</v>
      </c>
      <c r="F2" s="50">
        <f>IFERROR(INDEX('Drivers'' Standings'!$C:$Z,MATCH("RUS",'Drivers'' Standings'!$B:$B,0),MATCH(F$1,'Drivers'' Standings'!$C$1:$Z$1,0))+INDEX('Drivers'' Standings'!$C:$Z,MATCH("ANT",'Drivers'' Standings'!$B:$B,0),MATCH(F$1,'Drivers'' Standings'!$C$1:$Z$1,0)),0)</f>
        <v>0</v>
      </c>
      <c r="G2" s="25">
        <f>IFERROR(INDEX('Drivers'' Standings'!$C:$Z,MATCH("RUS",'Drivers'' Standings'!$B:$B,0),MATCH(G$1,'Drivers'' Standings'!$C$1:$Z$1,0))+INDEX('Drivers'' Standings'!$C:$Z,MATCH("ANT",'Drivers'' Standings'!$B:$B,0),MATCH(G$1,'Drivers'' Standings'!$C$1:$Z$1,0)),0)</f>
        <v>45</v>
      </c>
      <c r="H2" s="25">
        <f>IFERROR(INDEX('Drivers'' Standings'!$C:$Z,MATCH("RUS",'Drivers'' Standings'!$B:$B,0),MATCH(H$1,'Drivers'' Standings'!$C$1:$Z$1,0))+INDEX('Drivers'' Standings'!$C:$Z,MATCH("ANT",'Drivers'' Standings'!$B:$B,0),MATCH(H$1,'Drivers'' Standings'!$C$1:$Z$1,0)),0)</f>
        <v>39</v>
      </c>
      <c r="I2" s="25">
        <f>IFERROR(INDEX('Drivers'' Standings'!$C:$Z,MATCH("RUS",'Drivers'' Standings'!$B:$B,0),MATCH(I$1,'Drivers'' Standings'!$C$1:$Z$1,0))+INDEX('Drivers'' Standings'!$C:$Z,MATCH("ANT",'Drivers'' Standings'!$B:$B,0),MATCH(I$1,'Drivers'' Standings'!$C$1:$Z$1,0)),0)</f>
        <v>25</v>
      </c>
      <c r="J2" s="25">
        <f>IFERROR(INDEX('Drivers'' Standings'!$C:$Z,MATCH("RUS",'Drivers'' Standings'!$B:$B,0),MATCH(J$1,'Drivers'' Standings'!$C$1:$Z$1,0))+INDEX('Drivers'' Standings'!$C:$Z,MATCH("ANT",'Drivers'' Standings'!$B:$B,0),MATCH(J$1,'Drivers'' Standings'!$C$1:$Z$1,0)),0)</f>
        <v>18</v>
      </c>
      <c r="K2" s="25">
        <f>IFERROR(INDEX('Drivers'' Standings'!$C:$Z,MATCH("RUS",'Drivers'' Standings'!$B:$B,0),MATCH(K$1,'Drivers'' Standings'!$C$1:$Z$1,0))+INDEX('Drivers'' Standings'!$C:$Z,MATCH("ANT",'Drivers'' Standings'!$B:$B,0),MATCH(K$1,'Drivers'' Standings'!$C$1:$Z$1,0)),0)</f>
        <v>40</v>
      </c>
      <c r="L2" s="25">
        <f>IFERROR(INDEX('Drivers'' Standings'!$C:$Z,MATCH("RUS",'Drivers'' Standings'!$B:$B,0),MATCH(L$1,'Drivers'' Standings'!$C$1:$Z$1,0))+INDEX('Drivers'' Standings'!$C:$Z,MATCH("ANT",'Drivers'' Standings'!$B:$B,0),MATCH(L$1,'Drivers'' Standings'!$C$1:$Z$1,0)),0)</f>
        <v>31</v>
      </c>
      <c r="M2" s="25">
        <f>IFERROR(INDEX('Drivers'' Standings'!$C:$Z,MATCH("RUS",'Drivers'' Standings'!$B:$B,0),MATCH(M$1,'Drivers'' Standings'!$C$1:$Z$1,0))+INDEX('Drivers'' Standings'!$C:$Z,MATCH("ANT",'Drivers'' Standings'!$B:$B,0),MATCH(M$1,'Drivers'' Standings'!$C$1:$Z$1,0)),0)</f>
        <v>25</v>
      </c>
      <c r="N2" s="25">
        <f>IFERROR(INDEX('Drivers'' Standings'!$C:$Z,MATCH("RUS",'Drivers'' Standings'!$B:$B,0),MATCH(N$1,'Drivers'' Standings'!$C$1:$Z$1,0))+INDEX('Drivers'' Standings'!$C:$Z,MATCH("ANT",'Drivers'' Standings'!$B:$B,0),MATCH(N$1,'Drivers'' Standings'!$C$1:$Z$1,0)),0)</f>
        <v>21</v>
      </c>
      <c r="O2" s="25">
        <f>IFERROR(INDEX('Drivers'' Standings'!$C:$Z,MATCH("RUS",'Drivers'' Standings'!$B:$B,0),MATCH(O$1,'Drivers'' Standings'!$C$1:$Z$1,0))+INDEX('Drivers'' Standings'!$C:$Z,MATCH("ANT",'Drivers'' Standings'!$B:$B,0),MATCH(O$1,'Drivers'' Standings'!$C$1:$Z$1,0)),0)</f>
        <v>0</v>
      </c>
      <c r="P2" s="25">
        <f>IFERROR(INDEX('Drivers'' Standings'!$C:$Z,MATCH("RUS",'Drivers'' Standings'!$B:$B,0),MATCH(P$1,'Drivers'' Standings'!$C$1:$Z$1,0))+INDEX('Drivers'' Standings'!$C:$Z,MATCH("ANT",'Drivers'' Standings'!$B:$B,0),MATCH(P$1,'Drivers'' Standings'!$C$1:$Z$1,0)),0)</f>
        <v>0</v>
      </c>
      <c r="Q2" s="25">
        <f>IFERROR(INDEX('Drivers'' Standings'!$C:$Z,MATCH("RUS",'Drivers'' Standings'!$B:$B,0),MATCH(Q$1,'Drivers'' Standings'!$C$1:$Z$1,0))+INDEX('Drivers'' Standings'!$C:$Z,MATCH("ANT",'Drivers'' Standings'!$B:$B,0),MATCH(Q$1,'Drivers'' Standings'!$C$1:$Z$1,0)),0)</f>
        <v>0</v>
      </c>
      <c r="R2" s="25">
        <f>IFERROR(INDEX('Drivers'' Standings'!$C:$Z,MATCH("RUS",'Drivers'' Standings'!$B:$B,0),MATCH(R$1,'Drivers'' Standings'!$C$1:$Z$1,0))+INDEX('Drivers'' Standings'!$C:$Z,MATCH("ANT",'Drivers'' Standings'!$B:$B,0),MATCH(R$1,'Drivers'' Standings'!$C$1:$Z$1,0)),0)</f>
        <v>0</v>
      </c>
      <c r="S2" s="25">
        <f>IFERROR(INDEX('Drivers'' Standings'!$C:$Z,MATCH("RUS",'Drivers'' Standings'!$B:$B,0),MATCH(S$1,'Drivers'' Standings'!$C$1:$Z$1,0))+INDEX('Drivers'' Standings'!$C:$Z,MATCH("ANT",'Drivers'' Standings'!$B:$B,0),MATCH(S$1,'Drivers'' Standings'!$C$1:$Z$1,0)),0)</f>
        <v>0</v>
      </c>
      <c r="T2" s="25">
        <f>IFERROR(INDEX('Drivers'' Standings'!$C:$Z,MATCH("RUS",'Drivers'' Standings'!$B:$B,0),MATCH(T$1,'Drivers'' Standings'!$C$1:$Z$1,0))+INDEX('Drivers'' Standings'!$C:$Z,MATCH("ANT",'Drivers'' Standings'!$B:$B,0),MATCH(T$1,'Drivers'' Standings'!$C$1:$Z$1,0)),0)</f>
        <v>0</v>
      </c>
      <c r="U2" s="25">
        <f>IFERROR(INDEX('Drivers'' Standings'!$C:$Z,MATCH("RUS",'Drivers'' Standings'!$B:$B,0),MATCH(U$1,'Drivers'' Standings'!$C$1:$Z$1,0))+INDEX('Drivers'' Standings'!$C:$Z,MATCH("ANT",'Drivers'' Standings'!$B:$B,0),MATCH(U$1,'Drivers'' Standings'!$C$1:$Z$1,0)),0)</f>
        <v>0</v>
      </c>
      <c r="V2" s="25">
        <f>IFERROR(INDEX('Drivers'' Standings'!$C:$Z,MATCH("RUS",'Drivers'' Standings'!$B:$B,0),MATCH(V$1,'Drivers'' Standings'!$C$1:$Z$1,0))+INDEX('Drivers'' Standings'!$C:$Z,MATCH("ANT",'Drivers'' Standings'!$B:$B,0),MATCH(V$1,'Drivers'' Standings'!$C$1:$Z$1,0)),0)</f>
        <v>0</v>
      </c>
      <c r="W2" s="25">
        <f>IFERROR(INDEX('Drivers'' Standings'!$C:$Z,MATCH("RUS",'Drivers'' Standings'!$B:$B,0),MATCH(W$1,'Drivers'' Standings'!$C$1:$Z$1,0))+INDEX('Drivers'' Standings'!$C:$Z,MATCH("ANT",'Drivers'' Standings'!$B:$B,0),MATCH(W$1,'Drivers'' Standings'!$C$1:$Z$1,0)),0)</f>
        <v>0</v>
      </c>
      <c r="X2" s="25">
        <f>IFERROR(INDEX('Drivers'' Standings'!$C:$Z,MATCH("RUS",'Drivers'' Standings'!$B:$B,0),MATCH(X$1,'Drivers'' Standings'!$C$1:$Z$1,0))+INDEX('Drivers'' Standings'!$C:$Z,MATCH("ANT",'Drivers'' Standings'!$B:$B,0),MATCH(X$1,'Drivers'' Standings'!$C$1:$Z$1,0)),0)</f>
        <v>0</v>
      </c>
      <c r="Y2" s="25">
        <f>IFERROR(INDEX('Drivers'' Standings'!$C:$Z,MATCH("RUS",'Drivers'' Standings'!$B:$B,0),MATCH(Y$1,'Drivers'' Standings'!$C$1:$Z$1,0))+INDEX('Drivers'' Standings'!$C:$Z,MATCH("ANT",'Drivers'' Standings'!$B:$B,0),MATCH(Y$1,'Drivers'' Standings'!$C$1:$Z$1,0)),0)</f>
        <v>0</v>
      </c>
      <c r="Z2" s="25">
        <f t="shared" ref="Z2:Z12" si="0">SUM(B2:Y2)</f>
        <v>379</v>
      </c>
      <c r="AB2" s="39">
        <f>ROW()-1</f>
        <v>1</v>
      </c>
      <c r="AC2" s="21" t="str" cm="1">
        <f t="array" ref="AC2">INDEX($A$2:$A$12,MATCH(LARGE($Z$2:$Z$12+ROW($Z$2:$Z$12)/100000,ROW()-1),$Z$2:$Z$12+ROW($Z$2:$Z$12)/100000,0))</f>
        <v>Mercedes</v>
      </c>
      <c r="AD2" s="21" cm="1">
        <f t="array" ref="AD2">INDEX($Z$2:$Z$12,MATCH(LARGE($Z$2:$Z$12+ROW($Z$2:$Z$12)/100000,ROW()-1),$Z$2:$Z$12+ROW($Z$2:$Z$12)/100000,0))</f>
        <v>379</v>
      </c>
    </row>
    <row r="3" spans="1:32" ht="21.6" x14ac:dyDescent="0.4">
      <c r="A3" s="26" t="s">
        <v>5</v>
      </c>
      <c r="B3" s="27">
        <f>IFERROR(INDEX('Drivers'' Standings'!$C:$Z,MATCH("HAM",'Drivers'' Standings'!$B:$B,0),MATCH(B$1,'Drivers'' Standings'!$C$1:$Z$1,0))+INDEX('Drivers'' Standings'!$C:$Z,MATCH("LEC",'Drivers'' Standings'!$B:$B,0),MATCH(B$1,'Drivers'' Standings'!$C$1:$Z$1,0)),0)</f>
        <v>27</v>
      </c>
      <c r="C3" s="27">
        <f>IFERROR(INDEX('Drivers'' Standings'!$C:$Z,MATCH("HAM",'Drivers'' Standings'!$B:$B,0),MATCH(C$1,'Drivers'' Standings'!$C$1:$Z$1,0))+INDEX('Drivers'' Standings'!$C:$Z,MATCH("LEC",'Drivers'' Standings'!$B:$B,0),MATCH(C$1,'Drivers'' Standings'!$C$1:$Z$1,0)),0)</f>
        <v>40</v>
      </c>
      <c r="D3" s="27">
        <f>IFERROR(INDEX('Drivers'' Standings'!$C:$Z,MATCH("HAM",'Drivers'' Standings'!$B:$B,0),MATCH(D$1,'Drivers'' Standings'!$C$1:$Z$1,0))+INDEX('Drivers'' Standings'!$C:$Z,MATCH("LEC",'Drivers'' Standings'!$B:$B,0),MATCH(D$1,'Drivers'' Standings'!$C$1:$Z$1,0)),0)</f>
        <v>23</v>
      </c>
      <c r="E3" s="51">
        <f>IFERROR(INDEX('Drivers'' Standings'!$C:$Z,MATCH("HAM",'Drivers'' Standings'!$B:$B,0),MATCH(E$1,'Drivers'' Standings'!$C$1:$Z$1,0))+INDEX('Drivers'' Standings'!$C:$Z,MATCH("LEC",'Drivers'' Standings'!$B:$B,0),MATCH(E$1,'Drivers'' Standings'!$C$1:$Z$1,0)),0)</f>
        <v>0</v>
      </c>
      <c r="F3" s="51">
        <f>IFERROR(INDEX('Drivers'' Standings'!$C:$Z,MATCH("HAM",'Drivers'' Standings'!$B:$B,0),MATCH(F$1,'Drivers'' Standings'!$C$1:$Z$1,0))+INDEX('Drivers'' Standings'!$C:$Z,MATCH("LEC",'Drivers'' Standings'!$B:$B,0),MATCH(F$1,'Drivers'' Standings'!$C$1:$Z$1,0)),0)</f>
        <v>0</v>
      </c>
      <c r="G3" s="27">
        <f>IFERROR(INDEX('Drivers'' Standings'!$C:$Z,MATCH("HAM",'Drivers'' Standings'!$B:$B,0),MATCH(G$1,'Drivers'' Standings'!$C$1:$Z$1,0))+INDEX('Drivers'' Standings'!$C:$Z,MATCH("LEC",'Drivers'' Standings'!$B:$B,0),MATCH(G$1,'Drivers'' Standings'!$C$1:$Z$1,0)),0)</f>
        <v>20</v>
      </c>
      <c r="H3" s="27">
        <f>IFERROR(INDEX('Drivers'' Standings'!$C:$Z,MATCH("HAM",'Drivers'' Standings'!$B:$B,0),MATCH(H$1,'Drivers'' Standings'!$C$1:$Z$1,0))+INDEX('Drivers'' Standings'!$C:$Z,MATCH("LEC",'Drivers'' Standings'!$B:$B,0),MATCH(H$1,'Drivers'' Standings'!$C$1:$Z$1,0)),0)</f>
        <v>37</v>
      </c>
      <c r="I3" s="27">
        <f>IFERROR(INDEX('Drivers'' Standings'!$C:$Z,MATCH("HAM",'Drivers'' Standings'!$B:$B,0),MATCH(I$1,'Drivers'' Standings'!$C$1:$Z$1,0))+INDEX('Drivers'' Standings'!$C:$Z,MATCH("LEC",'Drivers'' Standings'!$B:$B,0),MATCH(I$1,'Drivers'' Standings'!$C$1:$Z$1,0)),0)</f>
        <v>18</v>
      </c>
      <c r="J3" s="27">
        <f>IFERROR(INDEX('Drivers'' Standings'!$C:$Z,MATCH("HAM",'Drivers'' Standings'!$B:$B,0),MATCH(J$1,'Drivers'' Standings'!$C$1:$Z$1,0))+INDEX('Drivers'' Standings'!$C:$Z,MATCH("LEC",'Drivers'' Standings'!$B:$B,0),MATCH(J$1,'Drivers'' Standings'!$C$1:$Z$1,0)),0)</f>
        <v>25</v>
      </c>
      <c r="K3" s="27">
        <f>IFERROR(INDEX('Drivers'' Standings'!$C:$Z,MATCH("HAM",'Drivers'' Standings'!$B:$B,0),MATCH(K$1,'Drivers'' Standings'!$C$1:$Z$1,0))+INDEX('Drivers'' Standings'!$C:$Z,MATCH("LEC",'Drivers'' Standings'!$B:$B,0),MATCH(K$1,'Drivers'' Standings'!$C$1:$Z$1,0)),0)</f>
        <v>14</v>
      </c>
      <c r="L3" s="27">
        <f>IFERROR(INDEX('Drivers'' Standings'!$C:$Z,MATCH("HAM",'Drivers'' Standings'!$B:$B,0),MATCH(L$1,'Drivers'' Standings'!$C$1:$Z$1,0))+INDEX('Drivers'' Standings'!$C:$Z,MATCH("LEC",'Drivers'' Standings'!$B:$B,0),MATCH(L$1,'Drivers'' Standings'!$C$1:$Z$1,0)),0)</f>
        <v>51</v>
      </c>
      <c r="M3" s="27">
        <f>IFERROR(INDEX('Drivers'' Standings'!$C:$Z,MATCH("HAM",'Drivers'' Standings'!$B:$B,0),MATCH(M$1,'Drivers'' Standings'!$C$1:$Z$1,0))+INDEX('Drivers'' Standings'!$C:$Z,MATCH("LEC",'Drivers'' Standings'!$B:$B,0),MATCH(M$1,'Drivers'' Standings'!$C$1:$Z$1,0)),0)</f>
        <v>30</v>
      </c>
      <c r="N3" s="27">
        <f>IFERROR(INDEX('Drivers'' Standings'!$C:$Z,MATCH("HAM",'Drivers'' Standings'!$B:$B,0),MATCH(N$1,'Drivers'' Standings'!$C$1:$Z$1,0))+INDEX('Drivers'' Standings'!$C:$Z,MATCH("LEC",'Drivers'' Standings'!$B:$B,0),MATCH(N$1,'Drivers'' Standings'!$C$1:$Z$1,0)),0)</f>
        <v>22</v>
      </c>
      <c r="O3" s="27">
        <f>IFERROR(INDEX('Drivers'' Standings'!$C:$Z,MATCH("HAM",'Drivers'' Standings'!$B:$B,0),MATCH(O$1,'Drivers'' Standings'!$C$1:$Z$1,0))+INDEX('Drivers'' Standings'!$C:$Z,MATCH("LEC",'Drivers'' Standings'!$B:$B,0),MATCH(O$1,'Drivers'' Standings'!$C$1:$Z$1,0)),0)</f>
        <v>0</v>
      </c>
      <c r="P3" s="27">
        <f>IFERROR(INDEX('Drivers'' Standings'!$C:$Z,MATCH("HAM",'Drivers'' Standings'!$B:$B,0),MATCH(P$1,'Drivers'' Standings'!$C$1:$Z$1,0))+INDEX('Drivers'' Standings'!$C:$Z,MATCH("LEC",'Drivers'' Standings'!$B:$B,0),MATCH(P$1,'Drivers'' Standings'!$C$1:$Z$1,0)),0)</f>
        <v>0</v>
      </c>
      <c r="Q3" s="27">
        <f>IFERROR(INDEX('Drivers'' Standings'!$C:$Z,MATCH("HAM",'Drivers'' Standings'!$B:$B,0),MATCH(Q$1,'Drivers'' Standings'!$C$1:$Z$1,0))+INDEX('Drivers'' Standings'!$C:$Z,MATCH("LEC",'Drivers'' Standings'!$B:$B,0),MATCH(Q$1,'Drivers'' Standings'!$C$1:$Z$1,0)),0)</f>
        <v>0</v>
      </c>
      <c r="R3" s="27">
        <f>IFERROR(INDEX('Drivers'' Standings'!$C:$Z,MATCH("HAM",'Drivers'' Standings'!$B:$B,0),MATCH(R$1,'Drivers'' Standings'!$C$1:$Z$1,0))+INDEX('Drivers'' Standings'!$C:$Z,MATCH("LEC",'Drivers'' Standings'!$B:$B,0),MATCH(R$1,'Drivers'' Standings'!$C$1:$Z$1,0)),0)</f>
        <v>0</v>
      </c>
      <c r="S3" s="27">
        <f>IFERROR(INDEX('Drivers'' Standings'!$C:$Z,MATCH("HAM",'Drivers'' Standings'!$B:$B,0),MATCH(S$1,'Drivers'' Standings'!$C$1:$Z$1,0))+INDEX('Drivers'' Standings'!$C:$Z,MATCH("LEC",'Drivers'' Standings'!$B:$B,0),MATCH(S$1,'Drivers'' Standings'!$C$1:$Z$1,0)),0)</f>
        <v>0</v>
      </c>
      <c r="T3" s="27">
        <f>IFERROR(INDEX('Drivers'' Standings'!$C:$Z,MATCH("HAM",'Drivers'' Standings'!$B:$B,0),MATCH(T$1,'Drivers'' Standings'!$C$1:$Z$1,0))+INDEX('Drivers'' Standings'!$C:$Z,MATCH("LEC",'Drivers'' Standings'!$B:$B,0),MATCH(T$1,'Drivers'' Standings'!$C$1:$Z$1,0)),0)</f>
        <v>0</v>
      </c>
      <c r="U3" s="27">
        <f>IFERROR(INDEX('Drivers'' Standings'!$C:$Z,MATCH("HAM",'Drivers'' Standings'!$B:$B,0),MATCH(U$1,'Drivers'' Standings'!$C$1:$Z$1,0))+INDEX('Drivers'' Standings'!$C:$Z,MATCH("LEC",'Drivers'' Standings'!$B:$B,0),MATCH(U$1,'Drivers'' Standings'!$C$1:$Z$1,0)),0)</f>
        <v>0</v>
      </c>
      <c r="V3" s="27">
        <f>IFERROR(INDEX('Drivers'' Standings'!$C:$Z,MATCH("HAM",'Drivers'' Standings'!$B:$B,0),MATCH(V$1,'Drivers'' Standings'!$C$1:$Z$1,0))+INDEX('Drivers'' Standings'!$C:$Z,MATCH("LEC",'Drivers'' Standings'!$B:$B,0),MATCH(V$1,'Drivers'' Standings'!$C$1:$Z$1,0)),0)</f>
        <v>0</v>
      </c>
      <c r="W3" s="27">
        <f>IFERROR(INDEX('Drivers'' Standings'!$C:$Z,MATCH("HAM",'Drivers'' Standings'!$B:$B,0),MATCH(W$1,'Drivers'' Standings'!$C$1:$Z$1,0))+INDEX('Drivers'' Standings'!$C:$Z,MATCH("LEC",'Drivers'' Standings'!$B:$B,0),MATCH(W$1,'Drivers'' Standings'!$C$1:$Z$1,0)),0)</f>
        <v>0</v>
      </c>
      <c r="X3" s="27">
        <f>IFERROR(INDEX('Drivers'' Standings'!$C:$Z,MATCH("HAM",'Drivers'' Standings'!$B:$B,0),MATCH(X$1,'Drivers'' Standings'!$C$1:$Z$1,0))+INDEX('Drivers'' Standings'!$C:$Z,MATCH("LEC",'Drivers'' Standings'!$B:$B,0),MATCH(X$1,'Drivers'' Standings'!$C$1:$Z$1,0)),0)</f>
        <v>0</v>
      </c>
      <c r="Y3" s="27">
        <f>IFERROR(INDEX('Drivers'' Standings'!$C:$Z,MATCH("HAM",'Drivers'' Standings'!$B:$B,0),MATCH(Y$1,'Drivers'' Standings'!$C$1:$Z$1,0))+INDEX('Drivers'' Standings'!$C:$Z,MATCH("LEC",'Drivers'' Standings'!$B:$B,0),MATCH(Y$1,'Drivers'' Standings'!$C$1:$Z$1,0)),0)</f>
        <v>0</v>
      </c>
      <c r="Z3" s="27">
        <f t="shared" si="0"/>
        <v>307</v>
      </c>
      <c r="AB3" s="39">
        <f t="shared" ref="AB3:AB12" si="1">ROW()-1</f>
        <v>2</v>
      </c>
      <c r="AC3" s="21" t="str" cm="1">
        <f t="array" ref="AC3">INDEX($A$2:$A$12,MATCH(LARGE($Z$2:$Z$12+ROW($Z$2:$Z$12)/100000,ROW()-1),$Z$2:$Z$12+ROW($Z$2:$Z$12)/100000,0))</f>
        <v>Ferrari</v>
      </c>
      <c r="AD3" s="21" cm="1">
        <f t="array" ref="AD3">INDEX($Z$2:$Z$12,MATCH(LARGE($Z$2:$Z$12+ROW($Z$2:$Z$12)/100000,ROW()-1),$Z$2:$Z$12+ROW($Z$2:$Z$12)/100000,0))</f>
        <v>307</v>
      </c>
    </row>
    <row r="4" spans="1:32" ht="21.6" x14ac:dyDescent="0.4">
      <c r="A4" s="28" t="s">
        <v>6</v>
      </c>
      <c r="B4" s="25">
        <f>IFERROR(INDEX('Drivers'' Standings'!$C:$Z,MATCH("NOR",'Drivers'' Standings'!$B:$B,0),MATCH(B$1,'Drivers'' Standings'!$C$1:$Z$1,0))+INDEX('Drivers'' Standings'!$C:$Z,MATCH("PIA",'Drivers'' Standings'!$B:$B,0),MATCH(B$1,'Drivers'' Standings'!$C$1:$Z$1,0)),0)</f>
        <v>10</v>
      </c>
      <c r="C4" s="25">
        <f>IFERROR(INDEX('Drivers'' Standings'!$C:$Z,MATCH("NOR",'Drivers'' Standings'!$B:$B,0),MATCH(C$1,'Drivers'' Standings'!$C$1:$Z$1,0))+INDEX('Drivers'' Standings'!$C:$Z,MATCH("PIA",'Drivers'' Standings'!$B:$B,0),MATCH(C$1,'Drivers'' Standings'!$C$1:$Z$1,0)),0)</f>
        <v>8</v>
      </c>
      <c r="D4" s="25">
        <f>IFERROR(INDEX('Drivers'' Standings'!$C:$Z,MATCH("NOR",'Drivers'' Standings'!$B:$B,0),MATCH(D$1,'Drivers'' Standings'!$C$1:$Z$1,0))+INDEX('Drivers'' Standings'!$C:$Z,MATCH("PIA",'Drivers'' Standings'!$B:$B,0),MATCH(D$1,'Drivers'' Standings'!$C$1:$Z$1,0)),0)</f>
        <v>28</v>
      </c>
      <c r="E4" s="50">
        <f>IFERROR(INDEX('Drivers'' Standings'!$C:$Z,MATCH("NOR",'Drivers'' Standings'!$B:$B,0),MATCH(E$1,'Drivers'' Standings'!$C$1:$Z$1,0))+INDEX('Drivers'' Standings'!$C:$Z,MATCH("PIA",'Drivers'' Standings'!$B:$B,0),MATCH(E$1,'Drivers'' Standings'!$C$1:$Z$1,0)),0)</f>
        <v>0</v>
      </c>
      <c r="F4" s="50">
        <f>IFERROR(INDEX('Drivers'' Standings'!$C:$Z,MATCH("NOR",'Drivers'' Standings'!$B:$B,0),MATCH(F$1,'Drivers'' Standings'!$C$1:$Z$1,0))+INDEX('Drivers'' Standings'!$C:$Z,MATCH("PIA",'Drivers'' Standings'!$B:$B,0),MATCH(F$1,'Drivers'' Standings'!$C$1:$Z$1,0)),0)</f>
        <v>0</v>
      </c>
      <c r="G4" s="25">
        <f>IFERROR(INDEX('Drivers'' Standings'!$C:$Z,MATCH("NOR",'Drivers'' Standings'!$B:$B,0),MATCH(G$1,'Drivers'' Standings'!$C$1:$Z$1,0))+INDEX('Drivers'' Standings'!$C:$Z,MATCH("PIA",'Drivers'' Standings'!$B:$B,0),MATCH(G$1,'Drivers'' Standings'!$C$1:$Z$1,0)),0)</f>
        <v>48</v>
      </c>
      <c r="H4" s="25">
        <f>IFERROR(INDEX('Drivers'' Standings'!$C:$Z,MATCH("NOR",'Drivers'' Standings'!$B:$B,0),MATCH(H$1,'Drivers'' Standings'!$C$1:$Z$1,0))+INDEX('Drivers'' Standings'!$C:$Z,MATCH("PIA",'Drivers'' Standings'!$B:$B,0),MATCH(H$1,'Drivers'' Standings'!$C$1:$Z$1,0)),0)</f>
        <v>12</v>
      </c>
      <c r="I4" s="25">
        <f>IFERROR(INDEX('Drivers'' Standings'!$C:$Z,MATCH("NOR",'Drivers'' Standings'!$B:$B,0),MATCH(I$1,'Drivers'' Standings'!$C$1:$Z$1,0))+INDEX('Drivers'' Standings'!$C:$Z,MATCH("PIA",'Drivers'' Standings'!$B:$B,0),MATCH(I$1,'Drivers'' Standings'!$C$1:$Z$1,0)),0)</f>
        <v>10</v>
      </c>
      <c r="J4" s="25">
        <f>IFERROR(INDEX('Drivers'' Standings'!$C:$Z,MATCH("NOR",'Drivers'' Standings'!$B:$B,0),MATCH(J$1,'Drivers'' Standings'!$C$1:$Z$1,0))+INDEX('Drivers'' Standings'!$C:$Z,MATCH("PIA",'Drivers'' Standings'!$B:$B,0),MATCH(J$1,'Drivers'' Standings'!$C$1:$Z$1,0)),0)</f>
        <v>25</v>
      </c>
      <c r="K4" s="25">
        <f>IFERROR(INDEX('Drivers'' Standings'!$C:$Z,MATCH("NOR",'Drivers'' Standings'!$B:$B,0),MATCH(K$1,'Drivers'' Standings'!$C$1:$Z$1,0))+INDEX('Drivers'' Standings'!$C:$Z,MATCH("PIA",'Drivers'' Standings'!$B:$B,0),MATCH(K$1,'Drivers'' Standings'!$C$1:$Z$1,0)),0)</f>
        <v>18</v>
      </c>
      <c r="L4" s="25">
        <f>IFERROR(INDEX('Drivers'' Standings'!$C:$Z,MATCH("NOR",'Drivers'' Standings'!$B:$B,0),MATCH(L$1,'Drivers'' Standings'!$C$1:$Z$1,0))+INDEX('Drivers'' Standings'!$C:$Z,MATCH("PIA",'Drivers'' Standings'!$B:$B,0),MATCH(L$1,'Drivers'' Standings'!$C$1:$Z$1,0)),0)</f>
        <v>20</v>
      </c>
      <c r="M4" s="25">
        <f>IFERROR(INDEX('Drivers'' Standings'!$C:$Z,MATCH("NOR",'Drivers'' Standings'!$B:$B,0),MATCH(M$1,'Drivers'' Standings'!$C$1:$Z$1,0))+INDEX('Drivers'' Standings'!$C:$Z,MATCH("PIA",'Drivers'' Standings'!$B:$B,0),MATCH(M$1,'Drivers'' Standings'!$C$1:$Z$1,0)),0)</f>
        <v>16</v>
      </c>
      <c r="N4" s="25">
        <f>IFERROR(INDEX('Drivers'' Standings'!$C:$Z,MATCH("NOR",'Drivers'' Standings'!$B:$B,0),MATCH(N$1,'Drivers'' Standings'!$C$1:$Z$1,0))+INDEX('Drivers'' Standings'!$C:$Z,MATCH("PIA",'Drivers'' Standings'!$B:$B,0),MATCH(N$1,'Drivers'' Standings'!$C$1:$Z$1,0)),0)</f>
        <v>25</v>
      </c>
      <c r="O4" s="25">
        <f>IFERROR(INDEX('Drivers'' Standings'!$C:$Z,MATCH("NOR",'Drivers'' Standings'!$B:$B,0),MATCH(O$1,'Drivers'' Standings'!$C$1:$Z$1,0))+INDEX('Drivers'' Standings'!$C:$Z,MATCH("PIA",'Drivers'' Standings'!$B:$B,0),MATCH(O$1,'Drivers'' Standings'!$C$1:$Z$1,0)),0)</f>
        <v>0</v>
      </c>
      <c r="P4" s="25">
        <f>IFERROR(INDEX('Drivers'' Standings'!$C:$Z,MATCH("NOR",'Drivers'' Standings'!$B:$B,0),MATCH(P$1,'Drivers'' Standings'!$C$1:$Z$1,0))+INDEX('Drivers'' Standings'!$C:$Z,MATCH("PIA",'Drivers'' Standings'!$B:$B,0),MATCH(P$1,'Drivers'' Standings'!$C$1:$Z$1,0)),0)</f>
        <v>0</v>
      </c>
      <c r="Q4" s="25">
        <f>IFERROR(INDEX('Drivers'' Standings'!$C:$Z,MATCH("NOR",'Drivers'' Standings'!$B:$B,0),MATCH(Q$1,'Drivers'' Standings'!$C$1:$Z$1,0))+INDEX('Drivers'' Standings'!$C:$Z,MATCH("PIA",'Drivers'' Standings'!$B:$B,0),MATCH(Q$1,'Drivers'' Standings'!$C$1:$Z$1,0)),0)</f>
        <v>0</v>
      </c>
      <c r="R4" s="25">
        <f>IFERROR(INDEX('Drivers'' Standings'!$C:$Z,MATCH("NOR",'Drivers'' Standings'!$B:$B,0),MATCH(R$1,'Drivers'' Standings'!$C$1:$Z$1,0))+INDEX('Drivers'' Standings'!$C:$Z,MATCH("PIA",'Drivers'' Standings'!$B:$B,0),MATCH(R$1,'Drivers'' Standings'!$C$1:$Z$1,0)),0)</f>
        <v>0</v>
      </c>
      <c r="S4" s="25">
        <f>IFERROR(INDEX('Drivers'' Standings'!$C:$Z,MATCH("NOR",'Drivers'' Standings'!$B:$B,0),MATCH(S$1,'Drivers'' Standings'!$C$1:$Z$1,0))+INDEX('Drivers'' Standings'!$C:$Z,MATCH("PIA",'Drivers'' Standings'!$B:$B,0),MATCH(S$1,'Drivers'' Standings'!$C$1:$Z$1,0)),0)</f>
        <v>0</v>
      </c>
      <c r="T4" s="25">
        <f>IFERROR(INDEX('Drivers'' Standings'!$C:$Z,MATCH("NOR",'Drivers'' Standings'!$B:$B,0),MATCH(T$1,'Drivers'' Standings'!$C$1:$Z$1,0))+INDEX('Drivers'' Standings'!$C:$Z,MATCH("PIA",'Drivers'' Standings'!$B:$B,0),MATCH(T$1,'Drivers'' Standings'!$C$1:$Z$1,0)),0)</f>
        <v>0</v>
      </c>
      <c r="U4" s="25">
        <f>IFERROR(INDEX('Drivers'' Standings'!$C:$Z,MATCH("NOR",'Drivers'' Standings'!$B:$B,0),MATCH(U$1,'Drivers'' Standings'!$C$1:$Z$1,0))+INDEX('Drivers'' Standings'!$C:$Z,MATCH("PIA",'Drivers'' Standings'!$B:$B,0),MATCH(U$1,'Drivers'' Standings'!$C$1:$Z$1,0)),0)</f>
        <v>0</v>
      </c>
      <c r="V4" s="25">
        <f>IFERROR(INDEX('Drivers'' Standings'!$C:$Z,MATCH("NOR",'Drivers'' Standings'!$B:$B,0),MATCH(V$1,'Drivers'' Standings'!$C$1:$Z$1,0))+INDEX('Drivers'' Standings'!$C:$Z,MATCH("PIA",'Drivers'' Standings'!$B:$B,0),MATCH(V$1,'Drivers'' Standings'!$C$1:$Z$1,0)),0)</f>
        <v>0</v>
      </c>
      <c r="W4" s="25">
        <f>IFERROR(INDEX('Drivers'' Standings'!$C:$Z,MATCH("NOR",'Drivers'' Standings'!$B:$B,0),MATCH(W$1,'Drivers'' Standings'!$C$1:$Z$1,0))+INDEX('Drivers'' Standings'!$C:$Z,MATCH("PIA",'Drivers'' Standings'!$B:$B,0),MATCH(W$1,'Drivers'' Standings'!$C$1:$Z$1,0)),0)</f>
        <v>0</v>
      </c>
      <c r="X4" s="25">
        <f>IFERROR(INDEX('Drivers'' Standings'!$C:$Z,MATCH("NOR",'Drivers'' Standings'!$B:$B,0),MATCH(X$1,'Drivers'' Standings'!$C$1:$Z$1,0))+INDEX('Drivers'' Standings'!$C:$Z,MATCH("PIA",'Drivers'' Standings'!$B:$B,0),MATCH(X$1,'Drivers'' Standings'!$C$1:$Z$1,0)),0)</f>
        <v>0</v>
      </c>
      <c r="Y4" s="25">
        <f>IFERROR(INDEX('Drivers'' Standings'!$C:$Z,MATCH("NOR",'Drivers'' Standings'!$B:$B,0),MATCH(Y$1,'Drivers'' Standings'!$C$1:$Z$1,0))+INDEX('Drivers'' Standings'!$C:$Z,MATCH("PIA",'Drivers'' Standings'!$B:$B,0),MATCH(Y$1,'Drivers'' Standings'!$C$1:$Z$1,0)),0)</f>
        <v>0</v>
      </c>
      <c r="Z4" s="25">
        <f t="shared" si="0"/>
        <v>220</v>
      </c>
      <c r="AB4" s="39">
        <f t="shared" si="1"/>
        <v>3</v>
      </c>
      <c r="AC4" s="21" t="str" cm="1">
        <f t="array" ref="AC4">INDEX($A$2:$A$12,MATCH(LARGE($Z$2:$Z$12+ROW($Z$2:$Z$12)/100000,ROW()-1),$Z$2:$Z$12+ROW($Z$2:$Z$12)/100000,0))</f>
        <v>McLaren</v>
      </c>
      <c r="AD4" s="21" cm="1">
        <f t="array" ref="AD4">INDEX($Z$2:$Z$12,MATCH(LARGE($Z$2:$Z$12+ROW($Z$2:$Z$12)/100000,ROW()-1),$Z$2:$Z$12+ROW($Z$2:$Z$12)/100000,0))</f>
        <v>220</v>
      </c>
    </row>
    <row r="5" spans="1:32" ht="21.6" x14ac:dyDescent="0.4">
      <c r="A5" s="29" t="s">
        <v>7</v>
      </c>
      <c r="B5" s="27">
        <f>IFERROR(INDEX('Drivers'' Standings'!$C:$Z,MATCH("VER",'Drivers'' Standings'!$B:$B,0),MATCH(B$1,'Drivers'' Standings'!$C$1:$Z$1,0))+INDEX('Drivers'' Standings'!$C:$Z,MATCH("HAD",'Drivers'' Standings'!$B:$B,0),MATCH(B$1,'Drivers'' Standings'!$C$1:$Z$1,0)),0)</f>
        <v>8</v>
      </c>
      <c r="C5" s="27">
        <f>IFERROR(INDEX('Drivers'' Standings'!$C:$Z,MATCH("VER",'Drivers'' Standings'!$B:$B,0),MATCH(C$1,'Drivers'' Standings'!$C$1:$Z$1,0))+INDEX('Drivers'' Standings'!$C:$Z,MATCH("HAD",'Drivers'' Standings'!$B:$B,0),MATCH(C$1,'Drivers'' Standings'!$C$1:$Z$1,0)),0)</f>
        <v>4</v>
      </c>
      <c r="D5" s="27">
        <f>IFERROR(INDEX('Drivers'' Standings'!$C:$Z,MATCH("VER",'Drivers'' Standings'!$B:$B,0),MATCH(D$1,'Drivers'' Standings'!$C$1:$Z$1,0))+INDEX('Drivers'' Standings'!$C:$Z,MATCH("HAD",'Drivers'' Standings'!$B:$B,0),MATCH(D$1,'Drivers'' Standings'!$C$1:$Z$1,0)),0)</f>
        <v>4</v>
      </c>
      <c r="E5" s="51">
        <f>IFERROR(INDEX('Drivers'' Standings'!$C:$Z,MATCH("VER",'Drivers'' Standings'!$B:$B,0),MATCH(E$1,'Drivers'' Standings'!$C$1:$Z$1,0))+INDEX('Drivers'' Standings'!$C:$Z,MATCH("HAD",'Drivers'' Standings'!$B:$B,0),MATCH(E$1,'Drivers'' Standings'!$C$1:$Z$1,0)),0)</f>
        <v>0</v>
      </c>
      <c r="F5" s="51">
        <f>IFERROR(INDEX('Drivers'' Standings'!$C:$Z,MATCH("VER",'Drivers'' Standings'!$B:$B,0),MATCH(F$1,'Drivers'' Standings'!$C$1:$Z$1,0))+INDEX('Drivers'' Standings'!$C:$Z,MATCH("HAD",'Drivers'' Standings'!$B:$B,0),MATCH(F$1,'Drivers'' Standings'!$C$1:$Z$1,0)),0)</f>
        <v>0</v>
      </c>
      <c r="G5" s="27">
        <f>IFERROR(INDEX('Drivers'' Standings'!$C:$Z,MATCH("VER",'Drivers'' Standings'!$B:$B,0),MATCH(G$1,'Drivers'' Standings'!$C$1:$Z$1,0))+INDEX('Drivers'' Standings'!$C:$Z,MATCH("HAD",'Drivers'' Standings'!$B:$B,0),MATCH(G$1,'Drivers'' Standings'!$C$1:$Z$1,0)),0)</f>
        <v>14</v>
      </c>
      <c r="H5" s="27">
        <f>IFERROR(INDEX('Drivers'' Standings'!$C:$Z,MATCH("VER",'Drivers'' Standings'!$B:$B,0),MATCH(H$1,'Drivers'' Standings'!$C$1:$Z$1,0))+INDEX('Drivers'' Standings'!$C:$Z,MATCH("HAD",'Drivers'' Standings'!$B:$B,0),MATCH(H$1,'Drivers'' Standings'!$C$1:$Z$1,0)),0)</f>
        <v>27</v>
      </c>
      <c r="I5" s="27">
        <f>IFERROR(INDEX('Drivers'' Standings'!$C:$Z,MATCH("VER",'Drivers'' Standings'!$B:$B,0),MATCH(I$1,'Drivers'' Standings'!$C$1:$Z$1,0))+INDEX('Drivers'' Standings'!$C:$Z,MATCH("HAD",'Drivers'' Standings'!$B:$B,0),MATCH(I$1,'Drivers'' Standings'!$C$1:$Z$1,0)),0)</f>
        <v>12</v>
      </c>
      <c r="J5" s="27">
        <f>IFERROR(INDEX('Drivers'' Standings'!$C:$Z,MATCH("VER",'Drivers'' Standings'!$B:$B,0),MATCH(J$1,'Drivers'' Standings'!$C$1:$Z$1,0))+INDEX('Drivers'' Standings'!$C:$Z,MATCH("HAD",'Drivers'' Standings'!$B:$B,0),MATCH(J$1,'Drivers'' Standings'!$C$1:$Z$1,0)),0)</f>
        <v>20</v>
      </c>
      <c r="K5" s="27">
        <f>IFERROR(INDEX('Drivers'' Standings'!$C:$Z,MATCH("VER",'Drivers'' Standings'!$B:$B,0),MATCH(K$1,'Drivers'' Standings'!$C$1:$Z$1,0))+INDEX('Drivers'' Standings'!$C:$Z,MATCH("HAD",'Drivers'' Standings'!$B:$B,0),MATCH(K$1,'Drivers'' Standings'!$C$1:$Z$1,0)),0)</f>
        <v>26</v>
      </c>
      <c r="L5" s="27">
        <f>IFERROR(INDEX('Drivers'' Standings'!$C:$Z,MATCH("VER",'Drivers'' Standings'!$B:$B,0),MATCH(L$1,'Drivers'' Standings'!$C$1:$Z$1,0))+INDEX('Drivers'' Standings'!$C:$Z,MATCH("HAD",'Drivers'' Standings'!$B:$B,0),MATCH(L$1,'Drivers'' Standings'!$C$1:$Z$1,0)),0)</f>
        <v>13</v>
      </c>
      <c r="M5" s="27">
        <f>IFERROR(INDEX('Drivers'' Standings'!$C:$Z,MATCH("VER",'Drivers'' Standings'!$B:$B,0),MATCH(M$1,'Drivers'' Standings'!$C$1:$Z$1,0))+INDEX('Drivers'' Standings'!$C:$Z,MATCH("HAD",'Drivers'' Standings'!$B:$B,0),MATCH(M$1,'Drivers'' Standings'!$C$1:$Z$1,0)),0)</f>
        <v>23</v>
      </c>
      <c r="N5" s="27">
        <f>IFERROR(INDEX('Drivers'' Standings'!$C:$Z,MATCH("VER",'Drivers'' Standings'!$B:$B,0),MATCH(N$1,'Drivers'' Standings'!$C$1:$Z$1,0))+INDEX('Drivers'' Standings'!$C:$Z,MATCH("HAD",'Drivers'' Standings'!$B:$B,0),MATCH(N$1,'Drivers'' Standings'!$C$1:$Z$1,0)),0)</f>
        <v>26</v>
      </c>
      <c r="O5" s="27">
        <f>IFERROR(INDEX('Drivers'' Standings'!$C:$Z,MATCH("VER",'Drivers'' Standings'!$B:$B,0),MATCH(O$1,'Drivers'' Standings'!$C$1:$Z$1,0))+INDEX('Drivers'' Standings'!$C:$Z,MATCH("HAD",'Drivers'' Standings'!$B:$B,0),MATCH(O$1,'Drivers'' Standings'!$C$1:$Z$1,0)),0)</f>
        <v>0</v>
      </c>
      <c r="P5" s="27">
        <f>IFERROR(INDEX('Drivers'' Standings'!$C:$Z,MATCH("VER",'Drivers'' Standings'!$B:$B,0),MATCH(P$1,'Drivers'' Standings'!$C$1:$Z$1,0))+INDEX('Drivers'' Standings'!$C:$Z,MATCH("HAD",'Drivers'' Standings'!$B:$B,0),MATCH(P$1,'Drivers'' Standings'!$C$1:$Z$1,0)),0)</f>
        <v>0</v>
      </c>
      <c r="Q5" s="27">
        <f>IFERROR(INDEX('Drivers'' Standings'!$C:$Z,MATCH("VER",'Drivers'' Standings'!$B:$B,0),MATCH(Q$1,'Drivers'' Standings'!$C$1:$Z$1,0))+INDEX('Drivers'' Standings'!$C:$Z,MATCH("HAD",'Drivers'' Standings'!$B:$B,0),MATCH(Q$1,'Drivers'' Standings'!$C$1:$Z$1,0)),0)</f>
        <v>0</v>
      </c>
      <c r="R5" s="27">
        <f>IFERROR(INDEX('Drivers'' Standings'!$C:$Z,MATCH("VER",'Drivers'' Standings'!$B:$B,0),MATCH(R$1,'Drivers'' Standings'!$C$1:$Z$1,0))+INDEX('Drivers'' Standings'!$C:$Z,MATCH("HAD",'Drivers'' Standings'!$B:$B,0),MATCH(R$1,'Drivers'' Standings'!$C$1:$Z$1,0)),0)</f>
        <v>0</v>
      </c>
      <c r="S5" s="27">
        <f>IFERROR(INDEX('Drivers'' Standings'!$C:$Z,MATCH("VER",'Drivers'' Standings'!$B:$B,0),MATCH(S$1,'Drivers'' Standings'!$C$1:$Z$1,0))+INDEX('Drivers'' Standings'!$C:$Z,MATCH("HAD",'Drivers'' Standings'!$B:$B,0),MATCH(S$1,'Drivers'' Standings'!$C$1:$Z$1,0)),0)</f>
        <v>0</v>
      </c>
      <c r="T5" s="27">
        <f>IFERROR(INDEX('Drivers'' Standings'!$C:$Z,MATCH("VER",'Drivers'' Standings'!$B:$B,0),MATCH(T$1,'Drivers'' Standings'!$C$1:$Z$1,0))+INDEX('Drivers'' Standings'!$C:$Z,MATCH("HAD",'Drivers'' Standings'!$B:$B,0),MATCH(T$1,'Drivers'' Standings'!$C$1:$Z$1,0)),0)</f>
        <v>0</v>
      </c>
      <c r="U5" s="27">
        <f>IFERROR(INDEX('Drivers'' Standings'!$C:$Z,MATCH("VER",'Drivers'' Standings'!$B:$B,0),MATCH(U$1,'Drivers'' Standings'!$C$1:$Z$1,0))+INDEX('Drivers'' Standings'!$C:$Z,MATCH("HAD",'Drivers'' Standings'!$B:$B,0),MATCH(U$1,'Drivers'' Standings'!$C$1:$Z$1,0)),0)</f>
        <v>0</v>
      </c>
      <c r="V5" s="27">
        <f>IFERROR(INDEX('Drivers'' Standings'!$C:$Z,MATCH("VER",'Drivers'' Standings'!$B:$B,0),MATCH(V$1,'Drivers'' Standings'!$C$1:$Z$1,0))+INDEX('Drivers'' Standings'!$C:$Z,MATCH("HAD",'Drivers'' Standings'!$B:$B,0),MATCH(V$1,'Drivers'' Standings'!$C$1:$Z$1,0)),0)</f>
        <v>0</v>
      </c>
      <c r="W5" s="27">
        <f>IFERROR(INDEX('Drivers'' Standings'!$C:$Z,MATCH("VER",'Drivers'' Standings'!$B:$B,0),MATCH(W$1,'Drivers'' Standings'!$C$1:$Z$1,0))+INDEX('Drivers'' Standings'!$C:$Z,MATCH("HAD",'Drivers'' Standings'!$B:$B,0),MATCH(W$1,'Drivers'' Standings'!$C$1:$Z$1,0)),0)</f>
        <v>0</v>
      </c>
      <c r="X5" s="27">
        <f>IFERROR(INDEX('Drivers'' Standings'!$C:$Z,MATCH("VER",'Drivers'' Standings'!$B:$B,0),MATCH(X$1,'Drivers'' Standings'!$C$1:$Z$1,0))+INDEX('Drivers'' Standings'!$C:$Z,MATCH("HAD",'Drivers'' Standings'!$B:$B,0),MATCH(X$1,'Drivers'' Standings'!$C$1:$Z$1,0)),0)</f>
        <v>0</v>
      </c>
      <c r="Y5" s="27">
        <f>IFERROR(INDEX('Drivers'' Standings'!$C:$Z,MATCH("VER",'Drivers'' Standings'!$B:$B,0),MATCH(Y$1,'Drivers'' Standings'!$C$1:$Z$1,0))+INDEX('Drivers'' Standings'!$C:$Z,MATCH("HAD",'Drivers'' Standings'!$B:$B,0),MATCH(Y$1,'Drivers'' Standings'!$C$1:$Z$1,0)),0)</f>
        <v>0</v>
      </c>
      <c r="Z5" s="27">
        <f t="shared" si="0"/>
        <v>177</v>
      </c>
      <c r="AB5" s="39">
        <f t="shared" si="1"/>
        <v>4</v>
      </c>
      <c r="AC5" s="21" t="str" cm="1">
        <f t="array" ref="AC5">INDEX($A$2:$A$12,MATCH(LARGE($Z$2:$Z$12+ROW($Z$2:$Z$12)/100000,ROW()-1),$Z$2:$Z$12+ROW($Z$2:$Z$12)/100000,0))</f>
        <v>Red Bull Racing</v>
      </c>
      <c r="AD5" s="21" cm="1">
        <f t="array" ref="AD5">INDEX($Z$2:$Z$12,MATCH(LARGE($Z$2:$Z$12+ROW($Z$2:$Z$12)/100000,ROW()-1),$Z$2:$Z$12+ROW($Z$2:$Z$12)/100000,0))</f>
        <v>177</v>
      </c>
    </row>
    <row r="6" spans="1:32" ht="21.6" x14ac:dyDescent="0.4">
      <c r="A6" s="30" t="s">
        <v>10</v>
      </c>
      <c r="B6" s="25">
        <f>IFERROR(INDEX('Drivers'' Standings'!$C:$Z,MATCH("OCO",'Drivers'' Standings'!$B:$B,0),MATCH(B$1,'Drivers'' Standings'!$C$1:$Z$1,0))+INDEX('Drivers'' Standings'!$C:$Z,MATCH("BEA",'Drivers'' Standings'!$B:$B,0),MATCH(B$1,'Drivers'' Standings'!$C$1:$Z$1,0)),0)</f>
        <v>6</v>
      </c>
      <c r="C6" s="25">
        <f>IFERROR(INDEX('Drivers'' Standings'!$C:$Z,MATCH("OCO",'Drivers'' Standings'!$B:$B,0),MATCH(C$1,'Drivers'' Standings'!$C$1:$Z$1,0))+INDEX('Drivers'' Standings'!$C:$Z,MATCH("BEA",'Drivers'' Standings'!$B:$B,0),MATCH(C$1,'Drivers'' Standings'!$C$1:$Z$1,0)),0)</f>
        <v>11</v>
      </c>
      <c r="D6" s="25">
        <f>IFERROR(INDEX('Drivers'' Standings'!$C:$Z,MATCH("OCO",'Drivers'' Standings'!$B:$B,0),MATCH(D$1,'Drivers'' Standings'!$C$1:$Z$1,0))+INDEX('Drivers'' Standings'!$C:$Z,MATCH("BEA",'Drivers'' Standings'!$B:$B,0),MATCH(D$1,'Drivers'' Standings'!$C$1:$Z$1,0)),0)</f>
        <v>1</v>
      </c>
      <c r="E6" s="50">
        <f>IFERROR(INDEX('Drivers'' Standings'!$C:$Z,MATCH("OCO",'Drivers'' Standings'!$B:$B,0),MATCH(E$1,'Drivers'' Standings'!$C$1:$Z$1,0))+INDEX('Drivers'' Standings'!$C:$Z,MATCH("BEA",'Drivers'' Standings'!$B:$B,0),MATCH(E$1,'Drivers'' Standings'!$C$1:$Z$1,0)),0)</f>
        <v>0</v>
      </c>
      <c r="F6" s="50">
        <f>IFERROR(INDEX('Drivers'' Standings'!$C:$Z,MATCH("OCO",'Drivers'' Standings'!$B:$B,0),MATCH(F$1,'Drivers'' Standings'!$C$1:$Z$1,0))+INDEX('Drivers'' Standings'!$C:$Z,MATCH("BEA",'Drivers'' Standings'!$B:$B,0),MATCH(F$1,'Drivers'' Standings'!$C$1:$Z$1,0)),0)</f>
        <v>0</v>
      </c>
      <c r="G6" s="25">
        <f>IFERROR(INDEX('Drivers'' Standings'!$C:$Z,MATCH("OCO",'Drivers'' Standings'!$B:$B,0),MATCH(G$1,'Drivers'' Standings'!$C$1:$Z$1,0))+INDEX('Drivers'' Standings'!$C:$Z,MATCH("BEA",'Drivers'' Standings'!$B:$B,0),MATCH(G$1,'Drivers'' Standings'!$C$1:$Z$1,0)),0)</f>
        <v>0</v>
      </c>
      <c r="H6" s="25">
        <f>IFERROR(INDEX('Drivers'' Standings'!$C:$Z,MATCH("OCO",'Drivers'' Standings'!$B:$B,0),MATCH(H$1,'Drivers'' Standings'!$C$1:$Z$1,0))+INDEX('Drivers'' Standings'!$C:$Z,MATCH("BEA",'Drivers'' Standings'!$B:$B,0),MATCH(H$1,'Drivers'' Standings'!$C$1:$Z$1,0)),0)</f>
        <v>1</v>
      </c>
      <c r="I6" s="25">
        <f>IFERROR(INDEX('Drivers'' Standings'!$C:$Z,MATCH("OCO",'Drivers'' Standings'!$B:$B,0),MATCH(I$1,'Drivers'' Standings'!$C$1:$Z$1,0))+INDEX('Drivers'' Standings'!$C:$Z,MATCH("BEA",'Drivers'' Standings'!$B:$B,0),MATCH(I$1,'Drivers'' Standings'!$C$1:$Z$1,0)),0)</f>
        <v>2</v>
      </c>
      <c r="J6" s="25">
        <f>IFERROR(INDEX('Drivers'' Standings'!$C:$Z,MATCH("OCO",'Drivers'' Standings'!$B:$B,0),MATCH(J$1,'Drivers'' Standings'!$C$1:$Z$1,0))+INDEX('Drivers'' Standings'!$C:$Z,MATCH("BEA",'Drivers'' Standings'!$B:$B,0),MATCH(J$1,'Drivers'' Standings'!$C$1:$Z$1,0)),0)</f>
        <v>0</v>
      </c>
      <c r="K6" s="25">
        <f>IFERROR(INDEX('Drivers'' Standings'!$C:$Z,MATCH("OCO",'Drivers'' Standings'!$B:$B,0),MATCH(K$1,'Drivers'' Standings'!$C$1:$Z$1,0))+INDEX('Drivers'' Standings'!$C:$Z,MATCH("BEA",'Drivers'' Standings'!$B:$B,0),MATCH(K$1,'Drivers'' Standings'!$C$1:$Z$1,0)),0)</f>
        <v>0</v>
      </c>
      <c r="L6" s="25">
        <f>IFERROR(INDEX('Drivers'' Standings'!$C:$Z,MATCH("OCO",'Drivers'' Standings'!$B:$B,0),MATCH(L$1,'Drivers'' Standings'!$C$1:$Z$1,0))+INDEX('Drivers'' Standings'!$C:$Z,MATCH("BEA",'Drivers'' Standings'!$B:$B,0),MATCH(L$1,'Drivers'' Standings'!$C$1:$Z$1,0)),0)</f>
        <v>0</v>
      </c>
      <c r="M6" s="25">
        <f>IFERROR(INDEX('Drivers'' Standings'!$C:$Z,MATCH("OCO",'Drivers'' Standings'!$B:$B,0),MATCH(M$1,'Drivers'' Standings'!$C$1:$Z$1,0))+INDEX('Drivers'' Standings'!$C:$Z,MATCH("BEA",'Drivers'' Standings'!$B:$B,0),MATCH(M$1,'Drivers'' Standings'!$C$1:$Z$1,0)),0)</f>
        <v>0</v>
      </c>
      <c r="N6" s="25">
        <f>IFERROR(INDEX('Drivers'' Standings'!$C:$Z,MATCH("OCO",'Drivers'' Standings'!$B:$B,0),MATCH(N$1,'Drivers'' Standings'!$C$1:$Z$1,0))+INDEX('Drivers'' Standings'!$C:$Z,MATCH("BEA",'Drivers'' Standings'!$B:$B,0),MATCH(N$1,'Drivers'' Standings'!$C$1:$Z$1,0)),0)</f>
        <v>0</v>
      </c>
      <c r="O6" s="25">
        <f>IFERROR(INDEX('Drivers'' Standings'!$C:$Z,MATCH("OCO",'Drivers'' Standings'!$B:$B,0),MATCH(O$1,'Drivers'' Standings'!$C$1:$Z$1,0))+INDEX('Drivers'' Standings'!$C:$Z,MATCH("BEA",'Drivers'' Standings'!$B:$B,0),MATCH(O$1,'Drivers'' Standings'!$C$1:$Z$1,0)),0)</f>
        <v>0</v>
      </c>
      <c r="P6" s="25">
        <f>IFERROR(INDEX('Drivers'' Standings'!$C:$Z,MATCH("OCO",'Drivers'' Standings'!$B:$B,0),MATCH(P$1,'Drivers'' Standings'!$C$1:$Z$1,0))+INDEX('Drivers'' Standings'!$C:$Z,MATCH("BEA",'Drivers'' Standings'!$B:$B,0),MATCH(P$1,'Drivers'' Standings'!$C$1:$Z$1,0)),0)</f>
        <v>0</v>
      </c>
      <c r="Q6" s="25">
        <f>IFERROR(INDEX('Drivers'' Standings'!$C:$Z,MATCH("OCO",'Drivers'' Standings'!$B:$B,0),MATCH(Q$1,'Drivers'' Standings'!$C$1:$Z$1,0))+INDEX('Drivers'' Standings'!$C:$Z,MATCH("BEA",'Drivers'' Standings'!$B:$B,0),MATCH(Q$1,'Drivers'' Standings'!$C$1:$Z$1,0)),0)</f>
        <v>0</v>
      </c>
      <c r="R6" s="25">
        <f>IFERROR(INDEX('Drivers'' Standings'!$C:$Z,MATCH("OCO",'Drivers'' Standings'!$B:$B,0),MATCH(R$1,'Drivers'' Standings'!$C$1:$Z$1,0))+INDEX('Drivers'' Standings'!$C:$Z,MATCH("BEA",'Drivers'' Standings'!$B:$B,0),MATCH(R$1,'Drivers'' Standings'!$C$1:$Z$1,0)),0)</f>
        <v>0</v>
      </c>
      <c r="S6" s="25">
        <f>IFERROR(INDEX('Drivers'' Standings'!$C:$Z,MATCH("OCO",'Drivers'' Standings'!$B:$B,0),MATCH(S$1,'Drivers'' Standings'!$C$1:$Z$1,0))+INDEX('Drivers'' Standings'!$C:$Z,MATCH("BEA",'Drivers'' Standings'!$B:$B,0),MATCH(S$1,'Drivers'' Standings'!$C$1:$Z$1,0)),0)</f>
        <v>0</v>
      </c>
      <c r="T6" s="25">
        <f>IFERROR(INDEX('Drivers'' Standings'!$C:$Z,MATCH("OCO",'Drivers'' Standings'!$B:$B,0),MATCH(T$1,'Drivers'' Standings'!$C$1:$Z$1,0))+INDEX('Drivers'' Standings'!$C:$Z,MATCH("BEA",'Drivers'' Standings'!$B:$B,0),MATCH(T$1,'Drivers'' Standings'!$C$1:$Z$1,0)),0)</f>
        <v>0</v>
      </c>
      <c r="U6" s="25">
        <f>IFERROR(INDEX('Drivers'' Standings'!$C:$Z,MATCH("OCO",'Drivers'' Standings'!$B:$B,0),MATCH(U$1,'Drivers'' Standings'!$C$1:$Z$1,0))+INDEX('Drivers'' Standings'!$C:$Z,MATCH("BEA",'Drivers'' Standings'!$B:$B,0),MATCH(U$1,'Drivers'' Standings'!$C$1:$Z$1,0)),0)</f>
        <v>0</v>
      </c>
      <c r="V6" s="25">
        <f>IFERROR(INDEX('Drivers'' Standings'!$C:$Z,MATCH("OCO",'Drivers'' Standings'!$B:$B,0),MATCH(V$1,'Drivers'' Standings'!$C$1:$Z$1,0))+INDEX('Drivers'' Standings'!$C:$Z,MATCH("BEA",'Drivers'' Standings'!$B:$B,0),MATCH(V$1,'Drivers'' Standings'!$C$1:$Z$1,0)),0)</f>
        <v>0</v>
      </c>
      <c r="W6" s="25">
        <f>IFERROR(INDEX('Drivers'' Standings'!$C:$Z,MATCH("OCO",'Drivers'' Standings'!$B:$B,0),MATCH(W$1,'Drivers'' Standings'!$C$1:$Z$1,0))+INDEX('Drivers'' Standings'!$C:$Z,MATCH("BEA",'Drivers'' Standings'!$B:$B,0),MATCH(W$1,'Drivers'' Standings'!$C$1:$Z$1,0)),0)</f>
        <v>0</v>
      </c>
      <c r="X6" s="25">
        <f>IFERROR(INDEX('Drivers'' Standings'!$C:$Z,MATCH("OCO",'Drivers'' Standings'!$B:$B,0),MATCH(X$1,'Drivers'' Standings'!$C$1:$Z$1,0))+INDEX('Drivers'' Standings'!$C:$Z,MATCH("BEA",'Drivers'' Standings'!$B:$B,0),MATCH(X$1,'Drivers'' Standings'!$C$1:$Z$1,0)),0)</f>
        <v>0</v>
      </c>
      <c r="Y6" s="25">
        <f>IFERROR(INDEX('Drivers'' Standings'!$C:$Z,MATCH("OCO",'Drivers'' Standings'!$B:$B,0),MATCH(Y$1,'Drivers'' Standings'!$C$1:$Z$1,0))+INDEX('Drivers'' Standings'!$C:$Z,MATCH("BEA",'Drivers'' Standings'!$B:$B,0),MATCH(Y$1,'Drivers'' Standings'!$C$1:$Z$1,0)),0)</f>
        <v>0</v>
      </c>
      <c r="Z6" s="25">
        <f t="shared" si="0"/>
        <v>21</v>
      </c>
      <c r="AB6" s="39">
        <f t="shared" si="1"/>
        <v>5</v>
      </c>
      <c r="AC6" s="21" t="str" cm="1">
        <f t="array" ref="AC6">INDEX($A$2:$A$12,MATCH(LARGE($Z$2:$Z$12+ROW($Z$2:$Z$12)/100000,ROW()-1),$Z$2:$Z$12+ROW($Z$2:$Z$12)/100000,0))</f>
        <v>Racing Bulls</v>
      </c>
      <c r="AD6" s="21" cm="1">
        <f t="array" ref="AD6">INDEX($Z$2:$Z$12,MATCH(LARGE($Z$2:$Z$12+ROW($Z$2:$Z$12)/100000,ROW()-1),$Z$2:$Z$12+ROW($Z$2:$Z$12)/100000,0))</f>
        <v>66</v>
      </c>
    </row>
    <row r="7" spans="1:32" ht="21.6" x14ac:dyDescent="0.4">
      <c r="A7" s="31" t="s">
        <v>9</v>
      </c>
      <c r="B7" s="27">
        <f>IFERROR(INDEX('Drivers'' Standings'!$C:$Z,MATCH("LAW",'Drivers'' Standings'!$B:$B,0),MATCH(B$1,'Drivers'' Standings'!$C$1:$Z$1,0))+INDEX('Drivers'' Standings'!$C:$Z,MATCH("LIN",'Drivers'' Standings'!$B:$B,0),MATCH(B$1,'Drivers'' Standings'!$C$1:$Z$1,0)),0)</f>
        <v>4</v>
      </c>
      <c r="C7" s="27">
        <f>IFERROR(INDEX('Drivers'' Standings'!$C:$Z,MATCH("LAW",'Drivers'' Standings'!$B:$B,0),MATCH(C$1,'Drivers'' Standings'!$C$1:$Z$1,0))+INDEX('Drivers'' Standings'!$C:$Z,MATCH("LIN",'Drivers'' Standings'!$B:$B,0),MATCH(C$1,'Drivers'' Standings'!$C$1:$Z$1,0)),0)</f>
        <v>8</v>
      </c>
      <c r="D7" s="27">
        <f>IFERROR(INDEX('Drivers'' Standings'!$C:$Z,MATCH("LAW",'Drivers'' Standings'!$B:$B,0),MATCH(D$1,'Drivers'' Standings'!$C$1:$Z$1,0))+INDEX('Drivers'' Standings'!$C:$Z,MATCH("LIN",'Drivers'' Standings'!$B:$B,0),MATCH(D$1,'Drivers'' Standings'!$C$1:$Z$1,0)),0)</f>
        <v>2</v>
      </c>
      <c r="E7" s="51">
        <f>IFERROR(INDEX('Drivers'' Standings'!$C:$Z,MATCH("LAW",'Drivers'' Standings'!$B:$B,0),MATCH(E$1,'Drivers'' Standings'!$C$1:$Z$1,0))+INDEX('Drivers'' Standings'!$C:$Z,MATCH("LIN",'Drivers'' Standings'!$B:$B,0),MATCH(E$1,'Drivers'' Standings'!$C$1:$Z$1,0)),0)</f>
        <v>0</v>
      </c>
      <c r="F7" s="51">
        <f>IFERROR(INDEX('Drivers'' Standings'!$C:$Z,MATCH("LAW",'Drivers'' Standings'!$B:$B,0),MATCH(F$1,'Drivers'' Standings'!$C$1:$Z$1,0))+INDEX('Drivers'' Standings'!$C:$Z,MATCH("LIN",'Drivers'' Standings'!$B:$B,0),MATCH(F$1,'Drivers'' Standings'!$C$1:$Z$1,0)),0)</f>
        <v>0</v>
      </c>
      <c r="G7" s="27">
        <f>IFERROR(INDEX('Drivers'' Standings'!$C:$Z,MATCH("LAW",'Drivers'' Standings'!$B:$B,0),MATCH(G$1,'Drivers'' Standings'!$C$1:$Z$1,0))+INDEX('Drivers'' Standings'!$C:$Z,MATCH("LIN",'Drivers'' Standings'!$B:$B,0),MATCH(G$1,'Drivers'' Standings'!$C$1:$Z$1,0)),0)</f>
        <v>0</v>
      </c>
      <c r="H7" s="27">
        <f>IFERROR(INDEX('Drivers'' Standings'!$C:$Z,MATCH("LAW",'Drivers'' Standings'!$B:$B,0),MATCH(H$1,'Drivers'' Standings'!$C$1:$Z$1,0))+INDEX('Drivers'' Standings'!$C:$Z,MATCH("LIN",'Drivers'' Standings'!$B:$B,0),MATCH(H$1,'Drivers'' Standings'!$C$1:$Z$1,0)),0)</f>
        <v>7</v>
      </c>
      <c r="I7" s="27">
        <f>IFERROR(INDEX('Drivers'' Standings'!$C:$Z,MATCH("LAW",'Drivers'' Standings'!$B:$B,0),MATCH(I$1,'Drivers'' Standings'!$C$1:$Z$1,0))+INDEX('Drivers'' Standings'!$C:$Z,MATCH("LIN",'Drivers'' Standings'!$B:$B,0),MATCH(I$1,'Drivers'' Standings'!$C$1:$Z$1,0)),0)</f>
        <v>14</v>
      </c>
      <c r="J7" s="27">
        <f>IFERROR(INDEX('Drivers'' Standings'!$C:$Z,MATCH("LAW",'Drivers'' Standings'!$B:$B,0),MATCH(J$1,'Drivers'' Standings'!$C$1:$Z$1,0))+INDEX('Drivers'' Standings'!$C:$Z,MATCH("LIN",'Drivers'' Standings'!$B:$B,0),MATCH(J$1,'Drivers'' Standings'!$C$1:$Z$1,0)),0)</f>
        <v>6</v>
      </c>
      <c r="K7" s="27">
        <f>IFERROR(INDEX('Drivers'' Standings'!$C:$Z,MATCH("LAW",'Drivers'' Standings'!$B:$B,0),MATCH(K$1,'Drivers'' Standings'!$C$1:$Z$1,0))+INDEX('Drivers'' Standings'!$C:$Z,MATCH("LIN",'Drivers'' Standings'!$B:$B,0),MATCH(K$1,'Drivers'' Standings'!$C$1:$Z$1,0)),0)</f>
        <v>3</v>
      </c>
      <c r="L7" s="27">
        <f>IFERROR(INDEX('Drivers'' Standings'!$C:$Z,MATCH("LAW",'Drivers'' Standings'!$B:$B,0),MATCH(L$1,'Drivers'' Standings'!$C$1:$Z$1,0))+INDEX('Drivers'' Standings'!$C:$Z,MATCH("LIN",'Drivers'' Standings'!$B:$B,0),MATCH(L$1,'Drivers'' Standings'!$C$1:$Z$1,0)),0)</f>
        <v>15</v>
      </c>
      <c r="M7" s="27">
        <f>IFERROR(INDEX('Drivers'' Standings'!$C:$Z,MATCH("LAW",'Drivers'' Standings'!$B:$B,0),MATCH(M$1,'Drivers'' Standings'!$C$1:$Z$1,0))+INDEX('Drivers'' Standings'!$C:$Z,MATCH("LIN",'Drivers'' Standings'!$B:$B,0),MATCH(M$1,'Drivers'' Standings'!$C$1:$Z$1,0)),0)</f>
        <v>2</v>
      </c>
      <c r="N7" s="27">
        <f>IFERROR(INDEX('Drivers'' Standings'!$C:$Z,MATCH("LAW",'Drivers'' Standings'!$B:$B,0),MATCH(N$1,'Drivers'' Standings'!$C$1:$Z$1,0))+INDEX('Drivers'' Standings'!$C:$Z,MATCH("LIN",'Drivers'' Standings'!$B:$B,0),MATCH(N$1,'Drivers'' Standings'!$C$1:$Z$1,0)),0)</f>
        <v>5</v>
      </c>
      <c r="O7" s="27">
        <f>IFERROR(INDEX('Drivers'' Standings'!$C:$Z,MATCH("LAW",'Drivers'' Standings'!$B:$B,0),MATCH(O$1,'Drivers'' Standings'!$C$1:$Z$1,0))+INDEX('Drivers'' Standings'!$C:$Z,MATCH("LIN",'Drivers'' Standings'!$B:$B,0),MATCH(O$1,'Drivers'' Standings'!$C$1:$Z$1,0)),0)</f>
        <v>0</v>
      </c>
      <c r="P7" s="27">
        <f>IFERROR(INDEX('Drivers'' Standings'!$C:$Z,MATCH("LAW",'Drivers'' Standings'!$B:$B,0),MATCH(P$1,'Drivers'' Standings'!$C$1:$Z$1,0))+INDEX('Drivers'' Standings'!$C:$Z,MATCH("LIN",'Drivers'' Standings'!$B:$B,0),MATCH(P$1,'Drivers'' Standings'!$C$1:$Z$1,0)),0)</f>
        <v>0</v>
      </c>
      <c r="Q7" s="27">
        <f>IFERROR(INDEX('Drivers'' Standings'!$C:$Z,MATCH("LAW",'Drivers'' Standings'!$B:$B,0),MATCH(Q$1,'Drivers'' Standings'!$C$1:$Z$1,0))+INDEX('Drivers'' Standings'!$C:$Z,MATCH("LIN",'Drivers'' Standings'!$B:$B,0),MATCH(Q$1,'Drivers'' Standings'!$C$1:$Z$1,0)),0)</f>
        <v>0</v>
      </c>
      <c r="R7" s="27">
        <f>IFERROR(INDEX('Drivers'' Standings'!$C:$Z,MATCH("LAW",'Drivers'' Standings'!$B:$B,0),MATCH(R$1,'Drivers'' Standings'!$C$1:$Z$1,0))+INDEX('Drivers'' Standings'!$C:$Z,MATCH("LIN",'Drivers'' Standings'!$B:$B,0),MATCH(R$1,'Drivers'' Standings'!$C$1:$Z$1,0)),0)</f>
        <v>0</v>
      </c>
      <c r="S7" s="27">
        <f>IFERROR(INDEX('Drivers'' Standings'!$C:$Z,MATCH("LAW",'Drivers'' Standings'!$B:$B,0),MATCH(S$1,'Drivers'' Standings'!$C$1:$Z$1,0))+INDEX('Drivers'' Standings'!$C:$Z,MATCH("LIN",'Drivers'' Standings'!$B:$B,0),MATCH(S$1,'Drivers'' Standings'!$C$1:$Z$1,0)),0)</f>
        <v>0</v>
      </c>
      <c r="T7" s="27">
        <f>IFERROR(INDEX('Drivers'' Standings'!$C:$Z,MATCH("LAW",'Drivers'' Standings'!$B:$B,0),MATCH(T$1,'Drivers'' Standings'!$C$1:$Z$1,0))+INDEX('Drivers'' Standings'!$C:$Z,MATCH("LIN",'Drivers'' Standings'!$B:$B,0),MATCH(T$1,'Drivers'' Standings'!$C$1:$Z$1,0)),0)</f>
        <v>0</v>
      </c>
      <c r="U7" s="27">
        <f>IFERROR(INDEX('Drivers'' Standings'!$C:$Z,MATCH("LAW",'Drivers'' Standings'!$B:$B,0),MATCH(U$1,'Drivers'' Standings'!$C$1:$Z$1,0))+INDEX('Drivers'' Standings'!$C:$Z,MATCH("LIN",'Drivers'' Standings'!$B:$B,0),MATCH(U$1,'Drivers'' Standings'!$C$1:$Z$1,0)),0)</f>
        <v>0</v>
      </c>
      <c r="V7" s="27">
        <f>IFERROR(INDEX('Drivers'' Standings'!$C:$Z,MATCH("LAW",'Drivers'' Standings'!$B:$B,0),MATCH(V$1,'Drivers'' Standings'!$C$1:$Z$1,0))+INDEX('Drivers'' Standings'!$C:$Z,MATCH("LIN",'Drivers'' Standings'!$B:$B,0),MATCH(V$1,'Drivers'' Standings'!$C$1:$Z$1,0)),0)</f>
        <v>0</v>
      </c>
      <c r="W7" s="27">
        <f>IFERROR(INDEX('Drivers'' Standings'!$C:$Z,MATCH("LAW",'Drivers'' Standings'!$B:$B,0),MATCH(W$1,'Drivers'' Standings'!$C$1:$Z$1,0))+INDEX('Drivers'' Standings'!$C:$Z,MATCH("LIN",'Drivers'' Standings'!$B:$B,0),MATCH(W$1,'Drivers'' Standings'!$C$1:$Z$1,0)),0)</f>
        <v>0</v>
      </c>
      <c r="X7" s="27">
        <f>IFERROR(INDEX('Drivers'' Standings'!$C:$Z,MATCH("LAW",'Drivers'' Standings'!$B:$B,0),MATCH(X$1,'Drivers'' Standings'!$C$1:$Z$1,0))+INDEX('Drivers'' Standings'!$C:$Z,MATCH("LIN",'Drivers'' Standings'!$B:$B,0),MATCH(X$1,'Drivers'' Standings'!$C$1:$Z$1,0)),0)</f>
        <v>0</v>
      </c>
      <c r="Y7" s="27">
        <f>IFERROR(INDEX('Drivers'' Standings'!$C:$Z,MATCH("LAW",'Drivers'' Standings'!$B:$B,0),MATCH(Y$1,'Drivers'' Standings'!$C$1:$Z$1,0))+INDEX('Drivers'' Standings'!$C:$Z,MATCH("LIN",'Drivers'' Standings'!$B:$B,0),MATCH(Y$1,'Drivers'' Standings'!$C$1:$Z$1,0)),0)</f>
        <v>0</v>
      </c>
      <c r="Z7" s="27">
        <f t="shared" si="0"/>
        <v>66</v>
      </c>
      <c r="AB7" s="39">
        <f t="shared" si="1"/>
        <v>6</v>
      </c>
      <c r="AC7" s="21" t="str" cm="1">
        <f t="array" ref="AC7">INDEX($A$2:$A$12,MATCH(LARGE($Z$2:$Z$12+ROW($Z$2:$Z$12)/100000,ROW()-1),$Z$2:$Z$12+ROW($Z$2:$Z$12)/100000,0))</f>
        <v>Alpine</v>
      </c>
      <c r="AD7" s="21" cm="1">
        <f t="array" ref="AD7">INDEX($Z$2:$Z$12,MATCH(LARGE($Z$2:$Z$12+ROW($Z$2:$Z$12)/100000,ROW()-1),$Z$2:$Z$12+ROW($Z$2:$Z$12)/100000,0))</f>
        <v>61</v>
      </c>
    </row>
    <row r="8" spans="1:32" ht="21.6" x14ac:dyDescent="0.4">
      <c r="A8" s="26" t="s">
        <v>11</v>
      </c>
      <c r="B8" s="25">
        <f>IFERROR(INDEX('Drivers'' Standings'!$C:$Z,MATCH("HUL",'Drivers'' Standings'!$B:$B,0),MATCH(B$1,'Drivers'' Standings'!$C$1:$Z$1,0))+INDEX('Drivers'' Standings'!$C:$Z,MATCH("BOR",'Drivers'' Standings'!$B:$B,0),MATCH(B$1,'Drivers'' Standings'!$C$1:$Z$1,0)),0)</f>
        <v>2</v>
      </c>
      <c r="C8" s="25">
        <f>IFERROR(INDEX('Drivers'' Standings'!$C:$Z,MATCH("HUL",'Drivers'' Standings'!$B:$B,0),MATCH(C$1,'Drivers'' Standings'!$C$1:$Z$1,0))+INDEX('Drivers'' Standings'!$C:$Z,MATCH("BOR",'Drivers'' Standings'!$B:$B,0),MATCH(C$1,'Drivers'' Standings'!$C$1:$Z$1,0)),0)</f>
        <v>0</v>
      </c>
      <c r="D8" s="25">
        <f>IFERROR(INDEX('Drivers'' Standings'!$C:$Z,MATCH("HUL",'Drivers'' Standings'!$B:$B,0),MATCH(D$1,'Drivers'' Standings'!$C$1:$Z$1,0))+INDEX('Drivers'' Standings'!$C:$Z,MATCH("BOR",'Drivers'' Standings'!$B:$B,0),MATCH(D$1,'Drivers'' Standings'!$C$1:$Z$1,0)),0)</f>
        <v>0</v>
      </c>
      <c r="E8" s="50">
        <f>IFERROR(INDEX('Drivers'' Standings'!$C:$Z,MATCH("HUL",'Drivers'' Standings'!$B:$B,0),MATCH(E$1,'Drivers'' Standings'!$C$1:$Z$1,0))+INDEX('Drivers'' Standings'!$C:$Z,MATCH("BOR",'Drivers'' Standings'!$B:$B,0),MATCH(E$1,'Drivers'' Standings'!$C$1:$Z$1,0)),0)</f>
        <v>0</v>
      </c>
      <c r="F8" s="50">
        <f>IFERROR(INDEX('Drivers'' Standings'!$C:$Z,MATCH("HUL",'Drivers'' Standings'!$B:$B,0),MATCH(F$1,'Drivers'' Standings'!$C$1:$Z$1,0))+INDEX('Drivers'' Standings'!$C:$Z,MATCH("BOR",'Drivers'' Standings'!$B:$B,0),MATCH(F$1,'Drivers'' Standings'!$C$1:$Z$1,0)),0)</f>
        <v>0</v>
      </c>
      <c r="G8" s="25">
        <f>IFERROR(INDEX('Drivers'' Standings'!$C:$Z,MATCH("HUL",'Drivers'' Standings'!$B:$B,0),MATCH(G$1,'Drivers'' Standings'!$C$1:$Z$1,0))+INDEX('Drivers'' Standings'!$C:$Z,MATCH("BOR",'Drivers'' Standings'!$B:$B,0),MATCH(G$1,'Drivers'' Standings'!$C$1:$Z$1,0)),0)</f>
        <v>0</v>
      </c>
      <c r="H8" s="25">
        <f>IFERROR(INDEX('Drivers'' Standings'!$C:$Z,MATCH("HUL",'Drivers'' Standings'!$B:$B,0),MATCH(H$1,'Drivers'' Standings'!$C$1:$Z$1,0))+INDEX('Drivers'' Standings'!$C:$Z,MATCH("BOR",'Drivers'' Standings'!$B:$B,0),MATCH(H$1,'Drivers'' Standings'!$C$1:$Z$1,0)),0)</f>
        <v>0</v>
      </c>
      <c r="I8" s="25">
        <f>IFERROR(INDEX('Drivers'' Standings'!$C:$Z,MATCH("HUL",'Drivers'' Standings'!$B:$B,0),MATCH(I$1,'Drivers'' Standings'!$C$1:$Z$1,0))+INDEX('Drivers'' Standings'!$C:$Z,MATCH("BOR",'Drivers'' Standings'!$B:$B,0),MATCH(I$1,'Drivers'' Standings'!$C$1:$Z$1,0)),0)</f>
        <v>0</v>
      </c>
      <c r="J8" s="25">
        <f>IFERROR(INDEX('Drivers'' Standings'!$C:$Z,MATCH("HUL",'Drivers'' Standings'!$B:$B,0),MATCH(J$1,'Drivers'' Standings'!$C$1:$Z$1,0))+INDEX('Drivers'' Standings'!$C:$Z,MATCH("BOR",'Drivers'' Standings'!$B:$B,0),MATCH(J$1,'Drivers'' Standings'!$C$1:$Z$1,0)),0)</f>
        <v>0</v>
      </c>
      <c r="K8" s="25">
        <f>IFERROR(INDEX('Drivers'' Standings'!$C:$Z,MATCH("HUL",'Drivers'' Standings'!$B:$B,0),MATCH(K$1,'Drivers'' Standings'!$C$1:$Z$1,0))+INDEX('Drivers'' Standings'!$C:$Z,MATCH("BOR",'Drivers'' Standings'!$B:$B,0),MATCH(K$1,'Drivers'' Standings'!$C$1:$Z$1,0)),0)</f>
        <v>0</v>
      </c>
      <c r="L8" s="25">
        <f>IFERROR(INDEX('Drivers'' Standings'!$C:$Z,MATCH("HUL",'Drivers'' Standings'!$B:$B,0),MATCH(L$1,'Drivers'' Standings'!$C$1:$Z$1,0))+INDEX('Drivers'' Standings'!$C:$Z,MATCH("BOR",'Drivers'' Standings'!$B:$B,0),MATCH(L$1,'Drivers'' Standings'!$C$1:$Z$1,0)),0)</f>
        <v>4</v>
      </c>
      <c r="M8" s="25">
        <f>IFERROR(INDEX('Drivers'' Standings'!$C:$Z,MATCH("HUL",'Drivers'' Standings'!$B:$B,0),MATCH(M$1,'Drivers'' Standings'!$C$1:$Z$1,0))+INDEX('Drivers'' Standings'!$C:$Z,MATCH("BOR",'Drivers'' Standings'!$B:$B,0),MATCH(M$1,'Drivers'' Standings'!$C$1:$Z$1,0)),0)</f>
        <v>4</v>
      </c>
      <c r="N8" s="25">
        <f>IFERROR(INDEX('Drivers'' Standings'!$C:$Z,MATCH("HUL",'Drivers'' Standings'!$B:$B,0),MATCH(N$1,'Drivers'' Standings'!$C$1:$Z$1,0))+INDEX('Drivers'' Standings'!$C:$Z,MATCH("BOR",'Drivers'' Standings'!$B:$B,0),MATCH(N$1,'Drivers'' Standings'!$C$1:$Z$1,0)),0)</f>
        <v>2</v>
      </c>
      <c r="O8" s="25">
        <f>IFERROR(INDEX('Drivers'' Standings'!$C:$Z,MATCH("HUL",'Drivers'' Standings'!$B:$B,0),MATCH(O$1,'Drivers'' Standings'!$C$1:$Z$1,0))+INDEX('Drivers'' Standings'!$C:$Z,MATCH("BOR",'Drivers'' Standings'!$B:$B,0),MATCH(O$1,'Drivers'' Standings'!$C$1:$Z$1,0)),0)</f>
        <v>0</v>
      </c>
      <c r="P8" s="25">
        <f>IFERROR(INDEX('Drivers'' Standings'!$C:$Z,MATCH("HUL",'Drivers'' Standings'!$B:$B,0),MATCH(P$1,'Drivers'' Standings'!$C$1:$Z$1,0))+INDEX('Drivers'' Standings'!$C:$Z,MATCH("BOR",'Drivers'' Standings'!$B:$B,0),MATCH(P$1,'Drivers'' Standings'!$C$1:$Z$1,0)),0)</f>
        <v>0</v>
      </c>
      <c r="Q8" s="25">
        <f>IFERROR(INDEX('Drivers'' Standings'!$C:$Z,MATCH("HUL",'Drivers'' Standings'!$B:$B,0),MATCH(Q$1,'Drivers'' Standings'!$C$1:$Z$1,0))+INDEX('Drivers'' Standings'!$C:$Z,MATCH("BOR",'Drivers'' Standings'!$B:$B,0),MATCH(Q$1,'Drivers'' Standings'!$C$1:$Z$1,0)),0)</f>
        <v>0</v>
      </c>
      <c r="R8" s="25">
        <f>IFERROR(INDEX('Drivers'' Standings'!$C:$Z,MATCH("HUL",'Drivers'' Standings'!$B:$B,0),MATCH(R$1,'Drivers'' Standings'!$C$1:$Z$1,0))+INDEX('Drivers'' Standings'!$C:$Z,MATCH("BOR",'Drivers'' Standings'!$B:$B,0),MATCH(R$1,'Drivers'' Standings'!$C$1:$Z$1,0)),0)</f>
        <v>0</v>
      </c>
      <c r="S8" s="25">
        <f>IFERROR(INDEX('Drivers'' Standings'!$C:$Z,MATCH("HUL",'Drivers'' Standings'!$B:$B,0),MATCH(S$1,'Drivers'' Standings'!$C$1:$Z$1,0))+INDEX('Drivers'' Standings'!$C:$Z,MATCH("BOR",'Drivers'' Standings'!$B:$B,0),MATCH(S$1,'Drivers'' Standings'!$C$1:$Z$1,0)),0)</f>
        <v>0</v>
      </c>
      <c r="T8" s="25">
        <f>IFERROR(INDEX('Drivers'' Standings'!$C:$Z,MATCH("HUL",'Drivers'' Standings'!$B:$B,0),MATCH(T$1,'Drivers'' Standings'!$C$1:$Z$1,0))+INDEX('Drivers'' Standings'!$C:$Z,MATCH("BOR",'Drivers'' Standings'!$B:$B,0),MATCH(T$1,'Drivers'' Standings'!$C$1:$Z$1,0)),0)</f>
        <v>0</v>
      </c>
      <c r="U8" s="25">
        <f>IFERROR(INDEX('Drivers'' Standings'!$C:$Z,MATCH("HUL",'Drivers'' Standings'!$B:$B,0),MATCH(U$1,'Drivers'' Standings'!$C$1:$Z$1,0))+INDEX('Drivers'' Standings'!$C:$Z,MATCH("BOR",'Drivers'' Standings'!$B:$B,0),MATCH(U$1,'Drivers'' Standings'!$C$1:$Z$1,0)),0)</f>
        <v>0</v>
      </c>
      <c r="V8" s="25">
        <f>IFERROR(INDEX('Drivers'' Standings'!$C:$Z,MATCH("HUL",'Drivers'' Standings'!$B:$B,0),MATCH(V$1,'Drivers'' Standings'!$C$1:$Z$1,0))+INDEX('Drivers'' Standings'!$C:$Z,MATCH("BOR",'Drivers'' Standings'!$B:$B,0),MATCH(V$1,'Drivers'' Standings'!$C$1:$Z$1,0)),0)</f>
        <v>0</v>
      </c>
      <c r="W8" s="25">
        <f>IFERROR(INDEX('Drivers'' Standings'!$C:$Z,MATCH("HUL",'Drivers'' Standings'!$B:$B,0),MATCH(W$1,'Drivers'' Standings'!$C$1:$Z$1,0))+INDEX('Drivers'' Standings'!$C:$Z,MATCH("BOR",'Drivers'' Standings'!$B:$B,0),MATCH(W$1,'Drivers'' Standings'!$C$1:$Z$1,0)),0)</f>
        <v>0</v>
      </c>
      <c r="X8" s="25">
        <f>IFERROR(INDEX('Drivers'' Standings'!$C:$Z,MATCH("HUL",'Drivers'' Standings'!$B:$B,0),MATCH(X$1,'Drivers'' Standings'!$C$1:$Z$1,0))+INDEX('Drivers'' Standings'!$C:$Z,MATCH("BOR",'Drivers'' Standings'!$B:$B,0),MATCH(X$1,'Drivers'' Standings'!$C$1:$Z$1,0)),0)</f>
        <v>0</v>
      </c>
      <c r="Y8" s="25">
        <f>IFERROR(INDEX('Drivers'' Standings'!$C:$Z,MATCH("HUL",'Drivers'' Standings'!$B:$B,0),MATCH(Y$1,'Drivers'' Standings'!$C$1:$Z$1,0))+INDEX('Drivers'' Standings'!$C:$Z,MATCH("BOR",'Drivers'' Standings'!$B:$B,0),MATCH(Y$1,'Drivers'' Standings'!$C$1:$Z$1,0)),0)</f>
        <v>0</v>
      </c>
      <c r="Z8" s="25">
        <f t="shared" si="0"/>
        <v>12</v>
      </c>
      <c r="AB8" s="39">
        <f t="shared" si="1"/>
        <v>7</v>
      </c>
      <c r="AC8" s="21" t="str" cm="1">
        <f t="array" ref="AC8">INDEX($A$2:$A$12,MATCH(LARGE($Z$2:$Z$12+ROW($Z$2:$Z$12)/100000,ROW()-1),$Z$2:$Z$12+ROW($Z$2:$Z$12)/100000,0))</f>
        <v>Haas F1 Team</v>
      </c>
      <c r="AD8" s="21" cm="1">
        <f t="array" ref="AD8">INDEX($Z$2:$Z$12,MATCH(LARGE($Z$2:$Z$12+ROW($Z$2:$Z$12)/100000,ROW()-1),$Z$2:$Z$12+ROW($Z$2:$Z$12)/100000,0))</f>
        <v>21</v>
      </c>
    </row>
    <row r="9" spans="1:32" ht="21.6" x14ac:dyDescent="0.4">
      <c r="A9" s="32" t="s">
        <v>8</v>
      </c>
      <c r="B9" s="27">
        <f>IFERROR(INDEX('Drivers'' Standings'!$C:$Z,MATCH("GAS",'Drivers'' Standings'!$B:$B,0),MATCH(B$1,'Drivers'' Standings'!$C$1:$Z$1,0))+INDEX('Drivers'' Standings'!$C:$Z,MATCH("COL",'Drivers'' Standings'!$B:$B,0),MATCH(B$1,'Drivers'' Standings'!$C$1:$Z$1,0)),0)</f>
        <v>1</v>
      </c>
      <c r="C9" s="27">
        <f>IFERROR(INDEX('Drivers'' Standings'!$C:$Z,MATCH("GAS",'Drivers'' Standings'!$B:$B,0),MATCH(C$1,'Drivers'' Standings'!$C$1:$Z$1,0))+INDEX('Drivers'' Standings'!$C:$Z,MATCH("COL",'Drivers'' Standings'!$B:$B,0),MATCH(C$1,'Drivers'' Standings'!$C$1:$Z$1,0)),0)</f>
        <v>9</v>
      </c>
      <c r="D9" s="27">
        <f>IFERROR(INDEX('Drivers'' Standings'!$C:$Z,MATCH("GAS",'Drivers'' Standings'!$B:$B,0),MATCH(D$1,'Drivers'' Standings'!$C$1:$Z$1,0))+INDEX('Drivers'' Standings'!$C:$Z,MATCH("COL",'Drivers'' Standings'!$B:$B,0),MATCH(D$1,'Drivers'' Standings'!$C$1:$Z$1,0)),0)</f>
        <v>6</v>
      </c>
      <c r="E9" s="51">
        <f>IFERROR(INDEX('Drivers'' Standings'!$C:$Z,MATCH("GAS",'Drivers'' Standings'!$B:$B,0),MATCH(E$1,'Drivers'' Standings'!$C$1:$Z$1,0))+INDEX('Drivers'' Standings'!$C:$Z,MATCH("COL",'Drivers'' Standings'!$B:$B,0),MATCH(E$1,'Drivers'' Standings'!$C$1:$Z$1,0)),0)</f>
        <v>0</v>
      </c>
      <c r="F9" s="51">
        <f>IFERROR(INDEX('Drivers'' Standings'!$C:$Z,MATCH("GAS",'Drivers'' Standings'!$B:$B,0),MATCH(F$1,'Drivers'' Standings'!$C$1:$Z$1,0))+INDEX('Drivers'' Standings'!$C:$Z,MATCH("COL",'Drivers'' Standings'!$B:$B,0),MATCH(F$1,'Drivers'' Standings'!$C$1:$Z$1,0)),0)</f>
        <v>0</v>
      </c>
      <c r="G9" s="27">
        <f>IFERROR(INDEX('Drivers'' Standings'!$C:$Z,MATCH("GAS",'Drivers'' Standings'!$B:$B,0),MATCH(G$1,'Drivers'' Standings'!$C$1:$Z$1,0))+INDEX('Drivers'' Standings'!$C:$Z,MATCH("COL",'Drivers'' Standings'!$B:$B,0),MATCH(G$1,'Drivers'' Standings'!$C$1:$Z$1,0)),0)</f>
        <v>7</v>
      </c>
      <c r="H9" s="27">
        <f>IFERROR(INDEX('Drivers'' Standings'!$C:$Z,MATCH("GAS",'Drivers'' Standings'!$B:$B,0),MATCH(H$1,'Drivers'' Standings'!$C$1:$Z$1,0))+INDEX('Drivers'' Standings'!$C:$Z,MATCH("COL",'Drivers'' Standings'!$B:$B,0),MATCH(H$1,'Drivers'' Standings'!$C$1:$Z$1,0)),0)</f>
        <v>12</v>
      </c>
      <c r="I9" s="27">
        <f>IFERROR(INDEX('Drivers'' Standings'!$C:$Z,MATCH("GAS",'Drivers'' Standings'!$B:$B,0),MATCH(I$1,'Drivers'' Standings'!$C$1:$Z$1,0))+INDEX('Drivers'' Standings'!$C:$Z,MATCH("COL",'Drivers'' Standings'!$B:$B,0),MATCH(I$1,'Drivers'' Standings'!$C$1:$Z$1,0)),0)</f>
        <v>15</v>
      </c>
      <c r="J9" s="27">
        <f>IFERROR(INDEX('Drivers'' Standings'!$C:$Z,MATCH("GAS",'Drivers'' Standings'!$B:$B,0),MATCH(J$1,'Drivers'' Standings'!$C$1:$Z$1,0))+INDEX('Drivers'' Standings'!$C:$Z,MATCH("COL",'Drivers'' Standings'!$B:$B,0),MATCH(J$1,'Drivers'' Standings'!$C$1:$Z$1,0)),0)</f>
        <v>7</v>
      </c>
      <c r="K9" s="27">
        <f>IFERROR(INDEX('Drivers'' Standings'!$C:$Z,MATCH("GAS",'Drivers'' Standings'!$B:$B,0),MATCH(K$1,'Drivers'' Standings'!$C$1:$Z$1,0))+INDEX('Drivers'' Standings'!$C:$Z,MATCH("COL",'Drivers'' Standings'!$B:$B,0),MATCH(K$1,'Drivers'' Standings'!$C$1:$Z$1,0)),0)</f>
        <v>0</v>
      </c>
      <c r="L9" s="27">
        <f>IFERROR(INDEX('Drivers'' Standings'!$C:$Z,MATCH("GAS",'Drivers'' Standings'!$B:$B,0),MATCH(L$1,'Drivers'' Standings'!$C$1:$Z$1,0))+INDEX('Drivers'' Standings'!$C:$Z,MATCH("COL",'Drivers'' Standings'!$B:$B,0),MATCH(L$1,'Drivers'' Standings'!$C$1:$Z$1,0)),0)</f>
        <v>3</v>
      </c>
      <c r="M9" s="27">
        <f>IFERROR(INDEX('Drivers'' Standings'!$C:$Z,MATCH("GAS",'Drivers'' Standings'!$B:$B,0),MATCH(M$1,'Drivers'' Standings'!$C$1:$Z$1,0))+INDEX('Drivers'' Standings'!$C:$Z,MATCH("COL",'Drivers'' Standings'!$B:$B,0),MATCH(M$1,'Drivers'' Standings'!$C$1:$Z$1,0)),0)</f>
        <v>1</v>
      </c>
      <c r="N9" s="27">
        <f>IFERROR(INDEX('Drivers'' Standings'!$C:$Z,MATCH("GAS",'Drivers'' Standings'!$B:$B,0),MATCH(N$1,'Drivers'' Standings'!$C$1:$Z$1,0))+INDEX('Drivers'' Standings'!$C:$Z,MATCH("COL",'Drivers'' Standings'!$B:$B,0),MATCH(N$1,'Drivers'' Standings'!$C$1:$Z$1,0)),0)</f>
        <v>0</v>
      </c>
      <c r="O9" s="27">
        <f>IFERROR(INDEX('Drivers'' Standings'!$C:$Z,MATCH("GAS",'Drivers'' Standings'!$B:$B,0),MATCH(O$1,'Drivers'' Standings'!$C$1:$Z$1,0))+INDEX('Drivers'' Standings'!$C:$Z,MATCH("COL",'Drivers'' Standings'!$B:$B,0),MATCH(O$1,'Drivers'' Standings'!$C$1:$Z$1,0)),0)</f>
        <v>0</v>
      </c>
      <c r="P9" s="27">
        <f>IFERROR(INDEX('Drivers'' Standings'!$C:$Z,MATCH("GAS",'Drivers'' Standings'!$B:$B,0),MATCH(P$1,'Drivers'' Standings'!$C$1:$Z$1,0))+INDEX('Drivers'' Standings'!$C:$Z,MATCH("COL",'Drivers'' Standings'!$B:$B,0),MATCH(P$1,'Drivers'' Standings'!$C$1:$Z$1,0)),0)</f>
        <v>0</v>
      </c>
      <c r="Q9" s="27">
        <f>IFERROR(INDEX('Drivers'' Standings'!$C:$Z,MATCH("GAS",'Drivers'' Standings'!$B:$B,0),MATCH(Q$1,'Drivers'' Standings'!$C$1:$Z$1,0))+INDEX('Drivers'' Standings'!$C:$Z,MATCH("COL",'Drivers'' Standings'!$B:$B,0),MATCH(Q$1,'Drivers'' Standings'!$C$1:$Z$1,0)),0)</f>
        <v>0</v>
      </c>
      <c r="R9" s="27">
        <f>IFERROR(INDEX('Drivers'' Standings'!$C:$Z,MATCH("GAS",'Drivers'' Standings'!$B:$B,0),MATCH(R$1,'Drivers'' Standings'!$C$1:$Z$1,0))+INDEX('Drivers'' Standings'!$C:$Z,MATCH("COL",'Drivers'' Standings'!$B:$B,0),MATCH(R$1,'Drivers'' Standings'!$C$1:$Z$1,0)),0)</f>
        <v>0</v>
      </c>
      <c r="S9" s="27">
        <f>IFERROR(INDEX('Drivers'' Standings'!$C:$Z,MATCH("GAS",'Drivers'' Standings'!$B:$B,0),MATCH(S$1,'Drivers'' Standings'!$C$1:$Z$1,0))+INDEX('Drivers'' Standings'!$C:$Z,MATCH("COL",'Drivers'' Standings'!$B:$B,0),MATCH(S$1,'Drivers'' Standings'!$C$1:$Z$1,0)),0)</f>
        <v>0</v>
      </c>
      <c r="T9" s="27">
        <f>IFERROR(INDEX('Drivers'' Standings'!$C:$Z,MATCH("GAS",'Drivers'' Standings'!$B:$B,0),MATCH(T$1,'Drivers'' Standings'!$C$1:$Z$1,0))+INDEX('Drivers'' Standings'!$C:$Z,MATCH("COL",'Drivers'' Standings'!$B:$B,0),MATCH(T$1,'Drivers'' Standings'!$C$1:$Z$1,0)),0)</f>
        <v>0</v>
      </c>
      <c r="U9" s="27">
        <f>IFERROR(INDEX('Drivers'' Standings'!$C:$Z,MATCH("GAS",'Drivers'' Standings'!$B:$B,0),MATCH(U$1,'Drivers'' Standings'!$C$1:$Z$1,0))+INDEX('Drivers'' Standings'!$C:$Z,MATCH("COL",'Drivers'' Standings'!$B:$B,0),MATCH(U$1,'Drivers'' Standings'!$C$1:$Z$1,0)),0)</f>
        <v>0</v>
      </c>
      <c r="V9" s="27">
        <f>IFERROR(INDEX('Drivers'' Standings'!$C:$Z,MATCH("GAS",'Drivers'' Standings'!$B:$B,0),MATCH(V$1,'Drivers'' Standings'!$C$1:$Z$1,0))+INDEX('Drivers'' Standings'!$C:$Z,MATCH("COL",'Drivers'' Standings'!$B:$B,0),MATCH(V$1,'Drivers'' Standings'!$C$1:$Z$1,0)),0)</f>
        <v>0</v>
      </c>
      <c r="W9" s="27">
        <f>IFERROR(INDEX('Drivers'' Standings'!$C:$Z,MATCH("GAS",'Drivers'' Standings'!$B:$B,0),MATCH(W$1,'Drivers'' Standings'!$C$1:$Z$1,0))+INDEX('Drivers'' Standings'!$C:$Z,MATCH("COL",'Drivers'' Standings'!$B:$B,0),MATCH(W$1,'Drivers'' Standings'!$C$1:$Z$1,0)),0)</f>
        <v>0</v>
      </c>
      <c r="X9" s="27">
        <f>IFERROR(INDEX('Drivers'' Standings'!$C:$Z,MATCH("GAS",'Drivers'' Standings'!$B:$B,0),MATCH(X$1,'Drivers'' Standings'!$C$1:$Z$1,0))+INDEX('Drivers'' Standings'!$C:$Z,MATCH("COL",'Drivers'' Standings'!$B:$B,0),MATCH(X$1,'Drivers'' Standings'!$C$1:$Z$1,0)),0)</f>
        <v>0</v>
      </c>
      <c r="Y9" s="27">
        <f>IFERROR(INDEX('Drivers'' Standings'!$C:$Z,MATCH("GAS",'Drivers'' Standings'!$B:$B,0),MATCH(Y$1,'Drivers'' Standings'!$C$1:$Z$1,0))+INDEX('Drivers'' Standings'!$C:$Z,MATCH("COL",'Drivers'' Standings'!$B:$B,0),MATCH(Y$1,'Drivers'' Standings'!$C$1:$Z$1,0)),0)</f>
        <v>0</v>
      </c>
      <c r="Z9" s="27">
        <f t="shared" si="0"/>
        <v>61</v>
      </c>
      <c r="AB9" s="39">
        <f t="shared" si="1"/>
        <v>8</v>
      </c>
      <c r="AC9" s="21" t="str" cm="1">
        <f t="array" ref="AC9">INDEX($A$2:$A$12,MATCH(LARGE($Z$2:$Z$12+ROW($Z$2:$Z$12)/100000,ROW()-1),$Z$2:$Z$12+ROW($Z$2:$Z$12)/100000,0))</f>
        <v>Audi</v>
      </c>
      <c r="AD9" s="21" cm="1">
        <f t="array" ref="AD9">INDEX($Z$2:$Z$12,MATCH(LARGE($Z$2:$Z$12+ROW($Z$2:$Z$12)/100000,ROW()-1),$Z$2:$Z$12+ROW($Z$2:$Z$12)/100000,0))</f>
        <v>12</v>
      </c>
    </row>
    <row r="10" spans="1:32" ht="21.6" x14ac:dyDescent="0.4">
      <c r="A10" s="33" t="s">
        <v>12</v>
      </c>
      <c r="B10" s="25">
        <f>IFERROR(INDEX('Drivers'' Standings'!$C:$Z,MATCH("SAI",'Drivers'' Standings'!$B:$B,0),MATCH(B$1,'Drivers'' Standings'!$C$1:$Z$1,0))+INDEX('Drivers'' Standings'!$C:$Z,MATCH("ALB",'Drivers'' Standings'!$B:$B,0),MATCH(B$1,'Drivers'' Standings'!$C$1:$Z$1,0)),0)</f>
        <v>0</v>
      </c>
      <c r="C10" s="25">
        <f>IFERROR(INDEX('Drivers'' Standings'!$C:$Z,MATCH("SAI",'Drivers'' Standings'!$B:$B,0),MATCH(C$1,'Drivers'' Standings'!$C$1:$Z$1,0))+INDEX('Drivers'' Standings'!$C:$Z,MATCH("ALB",'Drivers'' Standings'!$B:$B,0),MATCH(C$1,'Drivers'' Standings'!$C$1:$Z$1,0)),0)</f>
        <v>2</v>
      </c>
      <c r="D10" s="25">
        <f>IFERROR(INDEX('Drivers'' Standings'!$C:$Z,MATCH("SAI",'Drivers'' Standings'!$B:$B,0),MATCH(D$1,'Drivers'' Standings'!$C$1:$Z$1,0))+INDEX('Drivers'' Standings'!$C:$Z,MATCH("ALB",'Drivers'' Standings'!$B:$B,0),MATCH(D$1,'Drivers'' Standings'!$C$1:$Z$1,0)),0)</f>
        <v>0</v>
      </c>
      <c r="E10" s="50">
        <f>IFERROR(INDEX('Drivers'' Standings'!$C:$Z,MATCH("SAI",'Drivers'' Standings'!$B:$B,0),MATCH(E$1,'Drivers'' Standings'!$C$1:$Z$1,0))+INDEX('Drivers'' Standings'!$C:$Z,MATCH("ALB",'Drivers'' Standings'!$B:$B,0),MATCH(E$1,'Drivers'' Standings'!$C$1:$Z$1,0)),0)</f>
        <v>0</v>
      </c>
      <c r="F10" s="50">
        <f>IFERROR(INDEX('Drivers'' Standings'!$C:$Z,MATCH("SAI",'Drivers'' Standings'!$B:$B,0),MATCH(F$1,'Drivers'' Standings'!$C$1:$Z$1,0))+INDEX('Drivers'' Standings'!$C:$Z,MATCH("ALB",'Drivers'' Standings'!$B:$B,0),MATCH(F$1,'Drivers'' Standings'!$C$1:$Z$1,0)),0)</f>
        <v>0</v>
      </c>
      <c r="G10" s="25">
        <f>IFERROR(INDEX('Drivers'' Standings'!$C:$Z,MATCH("SAI",'Drivers'' Standings'!$B:$B,0),MATCH(G$1,'Drivers'' Standings'!$C$1:$Z$1,0))+INDEX('Drivers'' Standings'!$C:$Z,MATCH("ALB",'Drivers'' Standings'!$B:$B,0),MATCH(G$1,'Drivers'' Standings'!$C$1:$Z$1,0)),0)</f>
        <v>3</v>
      </c>
      <c r="H10" s="25">
        <f>IFERROR(INDEX('Drivers'' Standings'!$C:$Z,MATCH("SAI",'Drivers'' Standings'!$B:$B,0),MATCH(H$1,'Drivers'' Standings'!$C$1:$Z$1,0))+INDEX('Drivers'' Standings'!$C:$Z,MATCH("ALB",'Drivers'' Standings'!$B:$B,0),MATCH(H$1,'Drivers'' Standings'!$C$1:$Z$1,0)),0)</f>
        <v>2</v>
      </c>
      <c r="I10" s="25">
        <f>IFERROR(INDEX('Drivers'' Standings'!$C:$Z,MATCH("SAI",'Drivers'' Standings'!$B:$B,0),MATCH(I$1,'Drivers'' Standings'!$C$1:$Z$1,0))+INDEX('Drivers'' Standings'!$C:$Z,MATCH("ALB",'Drivers'' Standings'!$B:$B,0),MATCH(I$1,'Drivers'' Standings'!$C$1:$Z$1,0)),0)</f>
        <v>4</v>
      </c>
      <c r="J10" s="25">
        <f>IFERROR(INDEX('Drivers'' Standings'!$C:$Z,MATCH("SAI",'Drivers'' Standings'!$B:$B,0),MATCH(J$1,'Drivers'' Standings'!$C$1:$Z$1,0))+INDEX('Drivers'' Standings'!$C:$Z,MATCH("ALB",'Drivers'' Standings'!$B:$B,0),MATCH(J$1,'Drivers'' Standings'!$C$1:$Z$1,0)),0)</f>
        <v>0</v>
      </c>
      <c r="K10" s="25">
        <f>IFERROR(INDEX('Drivers'' Standings'!$C:$Z,MATCH("SAI",'Drivers'' Standings'!$B:$B,0),MATCH(K$1,'Drivers'' Standings'!$C$1:$Z$1,0))+INDEX('Drivers'' Standings'!$C:$Z,MATCH("ALB",'Drivers'' Standings'!$B:$B,0),MATCH(K$1,'Drivers'' Standings'!$C$1:$Z$1,0)),0)</f>
        <v>0</v>
      </c>
      <c r="L10" s="25">
        <f>IFERROR(INDEX('Drivers'' Standings'!$C:$Z,MATCH("SAI",'Drivers'' Standings'!$B:$B,0),MATCH(L$1,'Drivers'' Standings'!$C$1:$Z$1,0))+INDEX('Drivers'' Standings'!$C:$Z,MATCH("ALB",'Drivers'' Standings'!$B:$B,0),MATCH(L$1,'Drivers'' Standings'!$C$1:$Z$1,0)),0)</f>
        <v>0</v>
      </c>
      <c r="M10" s="25">
        <f>IFERROR(INDEX('Drivers'' Standings'!$C:$Z,MATCH("SAI",'Drivers'' Standings'!$B:$B,0),MATCH(M$1,'Drivers'' Standings'!$C$1:$Z$1,0))+INDEX('Drivers'' Standings'!$C:$Z,MATCH("ALB",'Drivers'' Standings'!$B:$B,0),MATCH(M$1,'Drivers'' Standings'!$C$1:$Z$1,0)),0)</f>
        <v>0</v>
      </c>
      <c r="N10" s="25">
        <f>IFERROR(INDEX('Drivers'' Standings'!$C:$Z,MATCH("SAI",'Drivers'' Standings'!$B:$B,0),MATCH(N$1,'Drivers'' Standings'!$C$1:$Z$1,0))+INDEX('Drivers'' Standings'!$C:$Z,MATCH("ALB",'Drivers'' Standings'!$B:$B,0),MATCH(N$1,'Drivers'' Standings'!$C$1:$Z$1,0)),0)</f>
        <v>0</v>
      </c>
      <c r="O10" s="25">
        <f>IFERROR(INDEX('Drivers'' Standings'!$C:$Z,MATCH("SAI",'Drivers'' Standings'!$B:$B,0),MATCH(O$1,'Drivers'' Standings'!$C$1:$Z$1,0))+INDEX('Drivers'' Standings'!$C:$Z,MATCH("ALB",'Drivers'' Standings'!$B:$B,0),MATCH(O$1,'Drivers'' Standings'!$C$1:$Z$1,0)),0)</f>
        <v>0</v>
      </c>
      <c r="P10" s="25">
        <f>IFERROR(INDEX('Drivers'' Standings'!$C:$Z,MATCH("SAI",'Drivers'' Standings'!$B:$B,0),MATCH(P$1,'Drivers'' Standings'!$C$1:$Z$1,0))+INDEX('Drivers'' Standings'!$C:$Z,MATCH("ALB",'Drivers'' Standings'!$B:$B,0),MATCH(P$1,'Drivers'' Standings'!$C$1:$Z$1,0)),0)</f>
        <v>0</v>
      </c>
      <c r="Q10" s="25">
        <f>IFERROR(INDEX('Drivers'' Standings'!$C:$Z,MATCH("SAI",'Drivers'' Standings'!$B:$B,0),MATCH(Q$1,'Drivers'' Standings'!$C$1:$Z$1,0))+INDEX('Drivers'' Standings'!$C:$Z,MATCH("ALB",'Drivers'' Standings'!$B:$B,0),MATCH(Q$1,'Drivers'' Standings'!$C$1:$Z$1,0)),0)</f>
        <v>0</v>
      </c>
      <c r="R10" s="25">
        <f>IFERROR(INDEX('Drivers'' Standings'!$C:$Z,MATCH("SAI",'Drivers'' Standings'!$B:$B,0),MATCH(R$1,'Drivers'' Standings'!$C$1:$Z$1,0))+INDEX('Drivers'' Standings'!$C:$Z,MATCH("ALB",'Drivers'' Standings'!$B:$B,0),MATCH(R$1,'Drivers'' Standings'!$C$1:$Z$1,0)),0)</f>
        <v>0</v>
      </c>
      <c r="S10" s="25">
        <f>IFERROR(INDEX('Drivers'' Standings'!$C:$Z,MATCH("SAI",'Drivers'' Standings'!$B:$B,0),MATCH(S$1,'Drivers'' Standings'!$C$1:$Z$1,0))+INDEX('Drivers'' Standings'!$C:$Z,MATCH("ALB",'Drivers'' Standings'!$B:$B,0),MATCH(S$1,'Drivers'' Standings'!$C$1:$Z$1,0)),0)</f>
        <v>0</v>
      </c>
      <c r="T10" s="25">
        <f>IFERROR(INDEX('Drivers'' Standings'!$C:$Z,MATCH("SAI",'Drivers'' Standings'!$B:$B,0),MATCH(T$1,'Drivers'' Standings'!$C$1:$Z$1,0))+INDEX('Drivers'' Standings'!$C:$Z,MATCH("ALB",'Drivers'' Standings'!$B:$B,0),MATCH(T$1,'Drivers'' Standings'!$C$1:$Z$1,0)),0)</f>
        <v>0</v>
      </c>
      <c r="U10" s="25">
        <f>IFERROR(INDEX('Drivers'' Standings'!$C:$Z,MATCH("SAI",'Drivers'' Standings'!$B:$B,0),MATCH(U$1,'Drivers'' Standings'!$C$1:$Z$1,0))+INDEX('Drivers'' Standings'!$C:$Z,MATCH("ALB",'Drivers'' Standings'!$B:$B,0),MATCH(U$1,'Drivers'' Standings'!$C$1:$Z$1,0)),0)</f>
        <v>0</v>
      </c>
      <c r="V10" s="25">
        <f>IFERROR(INDEX('Drivers'' Standings'!$C:$Z,MATCH("SAI",'Drivers'' Standings'!$B:$B,0),MATCH(V$1,'Drivers'' Standings'!$C$1:$Z$1,0))+INDEX('Drivers'' Standings'!$C:$Z,MATCH("ALB",'Drivers'' Standings'!$B:$B,0),MATCH(V$1,'Drivers'' Standings'!$C$1:$Z$1,0)),0)</f>
        <v>0</v>
      </c>
      <c r="W10" s="25">
        <f>IFERROR(INDEX('Drivers'' Standings'!$C:$Z,MATCH("SAI",'Drivers'' Standings'!$B:$B,0),MATCH(W$1,'Drivers'' Standings'!$C$1:$Z$1,0))+INDEX('Drivers'' Standings'!$C:$Z,MATCH("ALB",'Drivers'' Standings'!$B:$B,0),MATCH(W$1,'Drivers'' Standings'!$C$1:$Z$1,0)),0)</f>
        <v>0</v>
      </c>
      <c r="X10" s="25">
        <f>IFERROR(INDEX('Drivers'' Standings'!$C:$Z,MATCH("SAI",'Drivers'' Standings'!$B:$B,0),MATCH(X$1,'Drivers'' Standings'!$C$1:$Z$1,0))+INDEX('Drivers'' Standings'!$C:$Z,MATCH("ALB",'Drivers'' Standings'!$B:$B,0),MATCH(X$1,'Drivers'' Standings'!$C$1:$Z$1,0)),0)</f>
        <v>0</v>
      </c>
      <c r="Y10" s="25">
        <f>IFERROR(INDEX('Drivers'' Standings'!$C:$Z,MATCH("SAI",'Drivers'' Standings'!$B:$B,0),MATCH(Y$1,'Drivers'' Standings'!$C$1:$Z$1,0))+INDEX('Drivers'' Standings'!$C:$Z,MATCH("ALB",'Drivers'' Standings'!$B:$B,0),MATCH(Y$1,'Drivers'' Standings'!$C$1:$Z$1,0)),0)</f>
        <v>0</v>
      </c>
      <c r="Z10" s="25">
        <f t="shared" si="0"/>
        <v>11</v>
      </c>
      <c r="AB10" s="39">
        <f t="shared" si="1"/>
        <v>9</v>
      </c>
      <c r="AC10" s="21" t="str" cm="1">
        <f t="array" ref="AC10">INDEX($A$2:$A$12,MATCH(LARGE($Z$2:$Z$12+ROW($Z$2:$Z$12)/100000,ROW()-1),$Z$2:$Z$12+ROW($Z$2:$Z$12)/100000,0))</f>
        <v>Williams</v>
      </c>
      <c r="AD10" s="21" cm="1">
        <f t="array" ref="AD10">INDEX($Z$2:$Z$12,MATCH(LARGE($Z$2:$Z$12+ROW($Z$2:$Z$12)/100000,ROW()-1),$Z$2:$Z$12+ROW($Z$2:$Z$12)/100000,0))</f>
        <v>11</v>
      </c>
    </row>
    <row r="11" spans="1:32" ht="21.6" x14ac:dyDescent="0.4">
      <c r="A11" s="34" t="s">
        <v>13</v>
      </c>
      <c r="B11" s="27">
        <f>IFERROR(INDEX('Drivers'' Standings'!$C:$Z,MATCH("ALO",'Drivers'' Standings'!$B:$B,0),MATCH(B$1,'Drivers'' Standings'!$C$1:$Z$1,0))+INDEX('Drivers'' Standings'!$C:$Z,MATCH("STR",'Drivers'' Standings'!$B:$B,0),MATCH(B$1,'Drivers'' Standings'!$C$1:$Z$1,0)),0)</f>
        <v>0</v>
      </c>
      <c r="C11" s="27">
        <f>IFERROR(INDEX('Drivers'' Standings'!$C:$Z,MATCH("ALO",'Drivers'' Standings'!$B:$B,0),MATCH(C$1,'Drivers'' Standings'!$C$1:$Z$1,0))+INDEX('Drivers'' Standings'!$C:$Z,MATCH("STR",'Drivers'' Standings'!$B:$B,0),MATCH(C$1,'Drivers'' Standings'!$C$1:$Z$1,0)),0)</f>
        <v>0</v>
      </c>
      <c r="D11" s="27">
        <f>IFERROR(INDEX('Drivers'' Standings'!$C:$Z,MATCH("ALO",'Drivers'' Standings'!$B:$B,0),MATCH(D$1,'Drivers'' Standings'!$C$1:$Z$1,0))+INDEX('Drivers'' Standings'!$C:$Z,MATCH("STR",'Drivers'' Standings'!$B:$B,0),MATCH(D$1,'Drivers'' Standings'!$C$1:$Z$1,0)),0)</f>
        <v>0</v>
      </c>
      <c r="E11" s="51">
        <f>IFERROR(INDEX('Drivers'' Standings'!$C:$Z,MATCH("ALO",'Drivers'' Standings'!$B:$B,0),MATCH(E$1,'Drivers'' Standings'!$C$1:$Z$1,0))+INDEX('Drivers'' Standings'!$C:$Z,MATCH("STR",'Drivers'' Standings'!$B:$B,0),MATCH(E$1,'Drivers'' Standings'!$C$1:$Z$1,0)),0)</f>
        <v>0</v>
      </c>
      <c r="F11" s="51">
        <f>IFERROR(INDEX('Drivers'' Standings'!$C:$Z,MATCH("ALO",'Drivers'' Standings'!$B:$B,0),MATCH(F$1,'Drivers'' Standings'!$C$1:$Z$1,0))+INDEX('Drivers'' Standings'!$C:$Z,MATCH("STR",'Drivers'' Standings'!$B:$B,0),MATCH(F$1,'Drivers'' Standings'!$C$1:$Z$1,0)),0)</f>
        <v>0</v>
      </c>
      <c r="G11" s="27">
        <f>IFERROR(INDEX('Drivers'' Standings'!$C:$Z,MATCH("ALO",'Drivers'' Standings'!$B:$B,0),MATCH(G$1,'Drivers'' Standings'!$C$1:$Z$1,0))+INDEX('Drivers'' Standings'!$C:$Z,MATCH("STR",'Drivers'' Standings'!$B:$B,0),MATCH(G$1,'Drivers'' Standings'!$C$1:$Z$1,0)),0)</f>
        <v>0</v>
      </c>
      <c r="H11" s="27">
        <f>IFERROR(INDEX('Drivers'' Standings'!$C:$Z,MATCH("ALO",'Drivers'' Standings'!$B:$B,0),MATCH(H$1,'Drivers'' Standings'!$C$1:$Z$1,0))+INDEX('Drivers'' Standings'!$C:$Z,MATCH("STR",'Drivers'' Standings'!$B:$B,0),MATCH(H$1,'Drivers'' Standings'!$C$1:$Z$1,0)),0)</f>
        <v>0</v>
      </c>
      <c r="I11" s="27">
        <f>IFERROR(INDEX('Drivers'' Standings'!$C:$Z,MATCH("ALO",'Drivers'' Standings'!$B:$B,0),MATCH(I$1,'Drivers'' Standings'!$C$1:$Z$1,0))+INDEX('Drivers'' Standings'!$C:$Z,MATCH("STR",'Drivers'' Standings'!$B:$B,0),MATCH(I$1,'Drivers'' Standings'!$C$1:$Z$1,0)),0)</f>
        <v>1</v>
      </c>
      <c r="J11" s="27">
        <f>IFERROR(INDEX('Drivers'' Standings'!$C:$Z,MATCH("ALO",'Drivers'' Standings'!$B:$B,0),MATCH(J$1,'Drivers'' Standings'!$C$1:$Z$1,0))+INDEX('Drivers'' Standings'!$C:$Z,MATCH("STR",'Drivers'' Standings'!$B:$B,0),MATCH(J$1,'Drivers'' Standings'!$C$1:$Z$1,0)),0)</f>
        <v>0</v>
      </c>
      <c r="K11" s="27">
        <f>IFERROR(INDEX('Drivers'' Standings'!$C:$Z,MATCH("ALO",'Drivers'' Standings'!$B:$B,0),MATCH(K$1,'Drivers'' Standings'!$C$1:$Z$1,0))+INDEX('Drivers'' Standings'!$C:$Z,MATCH("STR",'Drivers'' Standings'!$B:$B,0),MATCH(K$1,'Drivers'' Standings'!$C$1:$Z$1,0)),0)</f>
        <v>0</v>
      </c>
      <c r="L11" s="27">
        <f>IFERROR(INDEX('Drivers'' Standings'!$C:$Z,MATCH("ALO",'Drivers'' Standings'!$B:$B,0),MATCH(L$1,'Drivers'' Standings'!$C$1:$Z$1,0))+INDEX('Drivers'' Standings'!$C:$Z,MATCH("STR",'Drivers'' Standings'!$B:$B,0),MATCH(L$1,'Drivers'' Standings'!$C$1:$Z$1,0)),0)</f>
        <v>0</v>
      </c>
      <c r="M11" s="27">
        <f>IFERROR(INDEX('Drivers'' Standings'!$C:$Z,MATCH("ALO",'Drivers'' Standings'!$B:$B,0),MATCH(M$1,'Drivers'' Standings'!$C$1:$Z$1,0))+INDEX('Drivers'' Standings'!$C:$Z,MATCH("STR",'Drivers'' Standings'!$B:$B,0),MATCH(M$1,'Drivers'' Standings'!$C$1:$Z$1,0)),0)</f>
        <v>0</v>
      </c>
      <c r="N11" s="27">
        <f>IFERROR(INDEX('Drivers'' Standings'!$C:$Z,MATCH("ALO",'Drivers'' Standings'!$B:$B,0),MATCH(N$1,'Drivers'' Standings'!$C$1:$Z$1,0))+INDEX('Drivers'' Standings'!$C:$Z,MATCH("STR",'Drivers'' Standings'!$B:$B,0),MATCH(N$1,'Drivers'' Standings'!$C$1:$Z$1,0)),0)</f>
        <v>0</v>
      </c>
      <c r="O11" s="27">
        <f>IFERROR(INDEX('Drivers'' Standings'!$C:$Z,MATCH("ALO",'Drivers'' Standings'!$B:$B,0),MATCH(O$1,'Drivers'' Standings'!$C$1:$Z$1,0))+INDEX('Drivers'' Standings'!$C:$Z,MATCH("STR",'Drivers'' Standings'!$B:$B,0),MATCH(O$1,'Drivers'' Standings'!$C$1:$Z$1,0)),0)</f>
        <v>0</v>
      </c>
      <c r="P11" s="27">
        <f>IFERROR(INDEX('Drivers'' Standings'!$C:$Z,MATCH("ALO",'Drivers'' Standings'!$B:$B,0),MATCH(P$1,'Drivers'' Standings'!$C$1:$Z$1,0))+INDEX('Drivers'' Standings'!$C:$Z,MATCH("STR",'Drivers'' Standings'!$B:$B,0),MATCH(P$1,'Drivers'' Standings'!$C$1:$Z$1,0)),0)</f>
        <v>0</v>
      </c>
      <c r="Q11" s="27">
        <f>IFERROR(INDEX('Drivers'' Standings'!$C:$Z,MATCH("ALO",'Drivers'' Standings'!$B:$B,0),MATCH(Q$1,'Drivers'' Standings'!$C$1:$Z$1,0))+INDEX('Drivers'' Standings'!$C:$Z,MATCH("STR",'Drivers'' Standings'!$B:$B,0),MATCH(Q$1,'Drivers'' Standings'!$C$1:$Z$1,0)),0)</f>
        <v>0</v>
      </c>
      <c r="R11" s="27">
        <f>IFERROR(INDEX('Drivers'' Standings'!$C:$Z,MATCH("ALO",'Drivers'' Standings'!$B:$B,0),MATCH(R$1,'Drivers'' Standings'!$C$1:$Z$1,0))+INDEX('Drivers'' Standings'!$C:$Z,MATCH("STR",'Drivers'' Standings'!$B:$B,0),MATCH(R$1,'Drivers'' Standings'!$C$1:$Z$1,0)),0)</f>
        <v>0</v>
      </c>
      <c r="S11" s="27">
        <f>IFERROR(INDEX('Drivers'' Standings'!$C:$Z,MATCH("ALO",'Drivers'' Standings'!$B:$B,0),MATCH(S$1,'Drivers'' Standings'!$C$1:$Z$1,0))+INDEX('Drivers'' Standings'!$C:$Z,MATCH("STR",'Drivers'' Standings'!$B:$B,0),MATCH(S$1,'Drivers'' Standings'!$C$1:$Z$1,0)),0)</f>
        <v>0</v>
      </c>
      <c r="T11" s="27">
        <f>IFERROR(INDEX('Drivers'' Standings'!$C:$Z,MATCH("ALO",'Drivers'' Standings'!$B:$B,0),MATCH(T$1,'Drivers'' Standings'!$C$1:$Z$1,0))+INDEX('Drivers'' Standings'!$C:$Z,MATCH("STR",'Drivers'' Standings'!$B:$B,0),MATCH(T$1,'Drivers'' Standings'!$C$1:$Z$1,0)),0)</f>
        <v>0</v>
      </c>
      <c r="U11" s="27">
        <f>IFERROR(INDEX('Drivers'' Standings'!$C:$Z,MATCH("ALO",'Drivers'' Standings'!$B:$B,0),MATCH(U$1,'Drivers'' Standings'!$C$1:$Z$1,0))+INDEX('Drivers'' Standings'!$C:$Z,MATCH("STR",'Drivers'' Standings'!$B:$B,0),MATCH(U$1,'Drivers'' Standings'!$C$1:$Z$1,0)),0)</f>
        <v>0</v>
      </c>
      <c r="V11" s="27">
        <f>IFERROR(INDEX('Drivers'' Standings'!$C:$Z,MATCH("ALO",'Drivers'' Standings'!$B:$B,0),MATCH(V$1,'Drivers'' Standings'!$C$1:$Z$1,0))+INDEX('Drivers'' Standings'!$C:$Z,MATCH("STR",'Drivers'' Standings'!$B:$B,0),MATCH(V$1,'Drivers'' Standings'!$C$1:$Z$1,0)),0)</f>
        <v>0</v>
      </c>
      <c r="W11" s="27">
        <f>IFERROR(INDEX('Drivers'' Standings'!$C:$Z,MATCH("ALO",'Drivers'' Standings'!$B:$B,0),MATCH(W$1,'Drivers'' Standings'!$C$1:$Z$1,0))+INDEX('Drivers'' Standings'!$C:$Z,MATCH("STR",'Drivers'' Standings'!$B:$B,0),MATCH(W$1,'Drivers'' Standings'!$C$1:$Z$1,0)),0)</f>
        <v>0</v>
      </c>
      <c r="X11" s="27">
        <f>IFERROR(INDEX('Drivers'' Standings'!$C:$Z,MATCH("ALO",'Drivers'' Standings'!$B:$B,0),MATCH(X$1,'Drivers'' Standings'!$C$1:$Z$1,0))+INDEX('Drivers'' Standings'!$C:$Z,MATCH("STR",'Drivers'' Standings'!$B:$B,0),MATCH(X$1,'Drivers'' Standings'!$C$1:$Z$1,0)),0)</f>
        <v>0</v>
      </c>
      <c r="Y11" s="27">
        <f>IFERROR(INDEX('Drivers'' Standings'!$C:$Z,MATCH("ALO",'Drivers'' Standings'!$B:$B,0),MATCH(Y$1,'Drivers'' Standings'!$C$1:$Z$1,0))+INDEX('Drivers'' Standings'!$C:$Z,MATCH("STR",'Drivers'' Standings'!$B:$B,0),MATCH(Y$1,'Drivers'' Standings'!$C$1:$Z$1,0)),0)</f>
        <v>0</v>
      </c>
      <c r="Z11" s="27">
        <f t="shared" si="0"/>
        <v>1</v>
      </c>
      <c r="AB11" s="39">
        <f t="shared" si="1"/>
        <v>10</v>
      </c>
      <c r="AC11" s="21" t="str" cm="1">
        <f t="array" ref="AC11">INDEX($A$2:$A$12,MATCH(LARGE($Z$2:$Z$12+ROW($Z$2:$Z$12)/100000,ROW()-1),$Z$2:$Z$12+ROW($Z$2:$Z$12)/100000,0))</f>
        <v>Aston Martin</v>
      </c>
      <c r="AD11" s="21" cm="1">
        <f t="array" ref="AD11">INDEX($Z$2:$Z$12,MATCH(LARGE($Z$2:$Z$12+ROW($Z$2:$Z$12)/100000,ROW()-1),$Z$2:$Z$12+ROW($Z$2:$Z$12)/100000,0))</f>
        <v>1</v>
      </c>
    </row>
    <row r="12" spans="1:32" ht="21.6" x14ac:dyDescent="0.4">
      <c r="A12" s="35" t="s">
        <v>14</v>
      </c>
      <c r="B12" s="36">
        <f>IFERROR(INDEX('Drivers'' Standings'!$C:$Z,MATCH("BOT",'Drivers'' Standings'!$B:$B,0),MATCH(B$1,'Drivers'' Standings'!$C$1:$Z$1,0))+INDEX('Drivers'' Standings'!$C:$Z,MATCH("PER",'Drivers'' Standings'!$B:$B,0),MATCH(B$1,'Drivers'' Standings'!$C$1:$Z$1,0)),0)</f>
        <v>0</v>
      </c>
      <c r="C12" s="36">
        <f>IFERROR(INDEX('Drivers'' Standings'!$C:$Z,MATCH("BOT",'Drivers'' Standings'!$B:$B,0),MATCH(C$1,'Drivers'' Standings'!$C$1:$Z$1,0))+INDEX('Drivers'' Standings'!$C:$Z,MATCH("PER",'Drivers'' Standings'!$B:$B,0),MATCH(C$1,'Drivers'' Standings'!$C$1:$Z$1,0)),0)</f>
        <v>0</v>
      </c>
      <c r="D12" s="36">
        <f>IFERROR(INDEX('Drivers'' Standings'!$C:$Z,MATCH("BOT",'Drivers'' Standings'!$B:$B,0),MATCH(D$1,'Drivers'' Standings'!$C$1:$Z$1,0))+INDEX('Drivers'' Standings'!$C:$Z,MATCH("PER",'Drivers'' Standings'!$B:$B,0),MATCH(D$1,'Drivers'' Standings'!$C$1:$Z$1,0)),0)</f>
        <v>0</v>
      </c>
      <c r="E12" s="52">
        <f>IFERROR(INDEX('Drivers'' Standings'!$C:$Z,MATCH("BOT",'Drivers'' Standings'!$B:$B,0),MATCH(E$1,'Drivers'' Standings'!$C$1:$Z$1,0))+INDEX('Drivers'' Standings'!$C:$Z,MATCH("PER",'Drivers'' Standings'!$B:$B,0),MATCH(E$1,'Drivers'' Standings'!$C$1:$Z$1,0)),0)</f>
        <v>0</v>
      </c>
      <c r="F12" s="52">
        <f>IFERROR(INDEX('Drivers'' Standings'!$C:$Z,MATCH("BOT",'Drivers'' Standings'!$B:$B,0),MATCH(F$1,'Drivers'' Standings'!$C$1:$Z$1,0))+INDEX('Drivers'' Standings'!$C:$Z,MATCH("PER",'Drivers'' Standings'!$B:$B,0),MATCH(F$1,'Drivers'' Standings'!$C$1:$Z$1,0)),0)</f>
        <v>0</v>
      </c>
      <c r="G12" s="36">
        <f>IFERROR(INDEX('Drivers'' Standings'!$C:$Z,MATCH("BOT",'Drivers'' Standings'!$B:$B,0),MATCH(G$1,'Drivers'' Standings'!$C$1:$Z$1,0))+INDEX('Drivers'' Standings'!$C:$Z,MATCH("PER",'Drivers'' Standings'!$B:$B,0),MATCH(G$1,'Drivers'' Standings'!$C$1:$Z$1,0)),0)</f>
        <v>0</v>
      </c>
      <c r="H12" s="36">
        <f>IFERROR(INDEX('Drivers'' Standings'!$C:$Z,MATCH("BOT",'Drivers'' Standings'!$B:$B,0),MATCH(H$1,'Drivers'' Standings'!$C$1:$Z$1,0))+INDEX('Drivers'' Standings'!$C:$Z,MATCH("PER",'Drivers'' Standings'!$B:$B,0),MATCH(H$1,'Drivers'' Standings'!$C$1:$Z$1,0)),0)</f>
        <v>0</v>
      </c>
      <c r="I12" s="36">
        <f>IFERROR(INDEX('Drivers'' Standings'!$C:$Z,MATCH("BOT",'Drivers'' Standings'!$B:$B,0),MATCH(I$1,'Drivers'' Standings'!$C$1:$Z$1,0))+INDEX('Drivers'' Standings'!$C:$Z,MATCH("PER",'Drivers'' Standings'!$B:$B,0),MATCH(I$1,'Drivers'' Standings'!$C$1:$Z$1,0)),0)</f>
        <v>0</v>
      </c>
      <c r="J12" s="36">
        <f>IFERROR(INDEX('Drivers'' Standings'!$C:$Z,MATCH("BOT",'Drivers'' Standings'!$B:$B,0),MATCH(J$1,'Drivers'' Standings'!$C$1:$Z$1,0))+INDEX('Drivers'' Standings'!$C:$Z,MATCH("PER",'Drivers'' Standings'!$B:$B,0),MATCH(J$1,'Drivers'' Standings'!$C$1:$Z$1,0)),0)</f>
        <v>0</v>
      </c>
      <c r="K12" s="36">
        <f>IFERROR(INDEX('Drivers'' Standings'!$C:$Z,MATCH("BOT",'Drivers'' Standings'!$B:$B,0),MATCH(K$1,'Drivers'' Standings'!$C$1:$Z$1,0))+INDEX('Drivers'' Standings'!$C:$Z,MATCH("PER",'Drivers'' Standings'!$B:$B,0),MATCH(K$1,'Drivers'' Standings'!$C$1:$Z$1,0)),0)</f>
        <v>0</v>
      </c>
      <c r="L12" s="36">
        <f>IFERROR(INDEX('Drivers'' Standings'!$C:$Z,MATCH("BOT",'Drivers'' Standings'!$B:$B,0),MATCH(L$1,'Drivers'' Standings'!$C$1:$Z$1,0))+INDEX('Drivers'' Standings'!$C:$Z,MATCH("PER",'Drivers'' Standings'!$B:$B,0),MATCH(L$1,'Drivers'' Standings'!$C$1:$Z$1,0)),0)</f>
        <v>0</v>
      </c>
      <c r="M12" s="36">
        <f>IFERROR(INDEX('Drivers'' Standings'!$C:$Z,MATCH("BOT",'Drivers'' Standings'!$B:$B,0),MATCH(M$1,'Drivers'' Standings'!$C$1:$Z$1,0))+INDEX('Drivers'' Standings'!$C:$Z,MATCH("PER",'Drivers'' Standings'!$B:$B,0),MATCH(M$1,'Drivers'' Standings'!$C$1:$Z$1,0)),0)</f>
        <v>0</v>
      </c>
      <c r="N12" s="36">
        <f>IFERROR(INDEX('Drivers'' Standings'!$C:$Z,MATCH("BOT",'Drivers'' Standings'!$B:$B,0),MATCH(N$1,'Drivers'' Standings'!$C$1:$Z$1,0))+INDEX('Drivers'' Standings'!$C:$Z,MATCH("PER",'Drivers'' Standings'!$B:$B,0),MATCH(N$1,'Drivers'' Standings'!$C$1:$Z$1,0)),0)</f>
        <v>0</v>
      </c>
      <c r="O12" s="36">
        <f>IFERROR(INDEX('Drivers'' Standings'!$C:$Z,MATCH("BOT",'Drivers'' Standings'!$B:$B,0),MATCH(O$1,'Drivers'' Standings'!$C$1:$Z$1,0))+INDEX('Drivers'' Standings'!$C:$Z,MATCH("PER",'Drivers'' Standings'!$B:$B,0),MATCH(O$1,'Drivers'' Standings'!$C$1:$Z$1,0)),0)</f>
        <v>0</v>
      </c>
      <c r="P12" s="36">
        <f>IFERROR(INDEX('Drivers'' Standings'!$C:$Z,MATCH("BOT",'Drivers'' Standings'!$B:$B,0),MATCH(P$1,'Drivers'' Standings'!$C$1:$Z$1,0))+INDEX('Drivers'' Standings'!$C:$Z,MATCH("PER",'Drivers'' Standings'!$B:$B,0),MATCH(P$1,'Drivers'' Standings'!$C$1:$Z$1,0)),0)</f>
        <v>0</v>
      </c>
      <c r="Q12" s="36">
        <f>IFERROR(INDEX('Drivers'' Standings'!$C:$Z,MATCH("BOT",'Drivers'' Standings'!$B:$B,0),MATCH(Q$1,'Drivers'' Standings'!$C$1:$Z$1,0))+INDEX('Drivers'' Standings'!$C:$Z,MATCH("PER",'Drivers'' Standings'!$B:$B,0),MATCH(Q$1,'Drivers'' Standings'!$C$1:$Z$1,0)),0)</f>
        <v>0</v>
      </c>
      <c r="R12" s="36">
        <f>IFERROR(INDEX('Drivers'' Standings'!$C:$Z,MATCH("BOT",'Drivers'' Standings'!$B:$B,0),MATCH(R$1,'Drivers'' Standings'!$C$1:$Z$1,0))+INDEX('Drivers'' Standings'!$C:$Z,MATCH("PER",'Drivers'' Standings'!$B:$B,0),MATCH(R$1,'Drivers'' Standings'!$C$1:$Z$1,0)),0)</f>
        <v>0</v>
      </c>
      <c r="S12" s="36">
        <f>IFERROR(INDEX('Drivers'' Standings'!$C:$Z,MATCH("BOT",'Drivers'' Standings'!$B:$B,0),MATCH(S$1,'Drivers'' Standings'!$C$1:$Z$1,0))+INDEX('Drivers'' Standings'!$C:$Z,MATCH("PER",'Drivers'' Standings'!$B:$B,0),MATCH(S$1,'Drivers'' Standings'!$C$1:$Z$1,0)),0)</f>
        <v>0</v>
      </c>
      <c r="T12" s="36">
        <f>IFERROR(INDEX('Drivers'' Standings'!$C:$Z,MATCH("BOT",'Drivers'' Standings'!$B:$B,0),MATCH(T$1,'Drivers'' Standings'!$C$1:$Z$1,0))+INDEX('Drivers'' Standings'!$C:$Z,MATCH("PER",'Drivers'' Standings'!$B:$B,0),MATCH(T$1,'Drivers'' Standings'!$C$1:$Z$1,0)),0)</f>
        <v>0</v>
      </c>
      <c r="U12" s="36">
        <f>IFERROR(INDEX('Drivers'' Standings'!$C:$Z,MATCH("BOT",'Drivers'' Standings'!$B:$B,0),MATCH(U$1,'Drivers'' Standings'!$C$1:$Z$1,0))+INDEX('Drivers'' Standings'!$C:$Z,MATCH("PER",'Drivers'' Standings'!$B:$B,0),MATCH(U$1,'Drivers'' Standings'!$C$1:$Z$1,0)),0)</f>
        <v>0</v>
      </c>
      <c r="V12" s="36">
        <f>IFERROR(INDEX('Drivers'' Standings'!$C:$Z,MATCH("BOT",'Drivers'' Standings'!$B:$B,0),MATCH(V$1,'Drivers'' Standings'!$C$1:$Z$1,0))+INDEX('Drivers'' Standings'!$C:$Z,MATCH("PER",'Drivers'' Standings'!$B:$B,0),MATCH(V$1,'Drivers'' Standings'!$C$1:$Z$1,0)),0)</f>
        <v>0</v>
      </c>
      <c r="W12" s="36">
        <f>IFERROR(INDEX('Drivers'' Standings'!$C:$Z,MATCH("BOT",'Drivers'' Standings'!$B:$B,0),MATCH(W$1,'Drivers'' Standings'!$C$1:$Z$1,0))+INDEX('Drivers'' Standings'!$C:$Z,MATCH("PER",'Drivers'' Standings'!$B:$B,0),MATCH(W$1,'Drivers'' Standings'!$C$1:$Z$1,0)),0)</f>
        <v>0</v>
      </c>
      <c r="X12" s="36">
        <f>IFERROR(INDEX('Drivers'' Standings'!$C:$Z,MATCH("BOT",'Drivers'' Standings'!$B:$B,0),MATCH(X$1,'Drivers'' Standings'!$C$1:$Z$1,0))+INDEX('Drivers'' Standings'!$C:$Z,MATCH("PER",'Drivers'' Standings'!$B:$B,0),MATCH(X$1,'Drivers'' Standings'!$C$1:$Z$1,0)),0)</f>
        <v>0</v>
      </c>
      <c r="Y12" s="36">
        <f>IFERROR(INDEX('Drivers'' Standings'!$C:$Z,MATCH("BOT",'Drivers'' Standings'!$B:$B,0),MATCH(Y$1,'Drivers'' Standings'!$C$1:$Z$1,0))+INDEX('Drivers'' Standings'!$C:$Z,MATCH("PER",'Drivers'' Standings'!$B:$B,0),MATCH(Y$1,'Drivers'' Standings'!$C$1:$Z$1,0)),0)</f>
        <v>0</v>
      </c>
      <c r="Z12" s="25">
        <f t="shared" si="0"/>
        <v>0</v>
      </c>
      <c r="AB12" s="39">
        <f t="shared" si="1"/>
        <v>11</v>
      </c>
      <c r="AC12" s="21" t="str" cm="1">
        <f t="array" ref="AC12">INDEX($A$2:$A$12,MATCH(LARGE($Z$2:$Z$12+ROW($Z$2:$Z$12)/100000,ROW()-1),$Z$2:$Z$12+ROW($Z$2:$Z$12)/100000,0))</f>
        <v>Cadillac</v>
      </c>
      <c r="AD12" s="21" cm="1">
        <f t="array" ref="AD12">INDEX($Z$2:$Z$12,MATCH(LARGE($Z$2:$Z$12+ROW($Z$2:$Z$12)/100000,ROW()-1),$Z$2:$Z$12+ROW($Z$2:$Z$12)/100000,0))</f>
        <v>0</v>
      </c>
    </row>
  </sheetData>
  <phoneticPr fontId="7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36732-CB05-4EAB-BF8C-0C2828170D51}">
  <sheetPr>
    <tabColor rgb="FFFF0000"/>
  </sheetPr>
  <dimension ref="A1:AB30"/>
  <sheetViews>
    <sheetView zoomScale="60" zoomScaleNormal="60" workbookViewId="0">
      <selection activeCell="N23" sqref="N23"/>
    </sheetView>
  </sheetViews>
  <sheetFormatPr defaultRowHeight="14.4" x14ac:dyDescent="0.3"/>
  <cols>
    <col min="1" max="24" width="20.77734375" customWidth="1"/>
    <col min="25" max="27" width="20.77734375" style="5" customWidth="1"/>
    <col min="28" max="28" width="8.88671875" style="5"/>
  </cols>
  <sheetData>
    <row r="1" spans="1:27" ht="16.95" customHeight="1" x14ac:dyDescent="0.4">
      <c r="A1" s="1"/>
      <c r="B1" s="56" t="s">
        <v>16</v>
      </c>
      <c r="C1" s="56" t="s">
        <v>17</v>
      </c>
      <c r="D1" s="56" t="s">
        <v>18</v>
      </c>
      <c r="E1" s="57" t="s">
        <v>19</v>
      </c>
      <c r="F1" s="57" t="s">
        <v>20</v>
      </c>
      <c r="G1" s="56" t="s">
        <v>21</v>
      </c>
      <c r="H1" s="56" t="s">
        <v>22</v>
      </c>
      <c r="I1" s="56" t="s">
        <v>23</v>
      </c>
      <c r="J1" s="56" t="s">
        <v>24</v>
      </c>
      <c r="K1" s="56" t="s">
        <v>25</v>
      </c>
      <c r="L1" s="56" t="s">
        <v>26</v>
      </c>
      <c r="M1" s="56" t="s">
        <v>27</v>
      </c>
      <c r="N1" s="56" t="s">
        <v>28</v>
      </c>
      <c r="O1" s="56" t="s">
        <v>29</v>
      </c>
      <c r="P1" s="56" t="s">
        <v>30</v>
      </c>
      <c r="Q1" s="56" t="s">
        <v>31</v>
      </c>
      <c r="R1" s="56" t="s">
        <v>32</v>
      </c>
      <c r="S1" s="56" t="s">
        <v>33</v>
      </c>
      <c r="T1" s="56" t="s">
        <v>34</v>
      </c>
      <c r="U1" s="56" t="s">
        <v>35</v>
      </c>
      <c r="V1" s="56" t="s">
        <v>36</v>
      </c>
      <c r="W1" s="56" t="s">
        <v>37</v>
      </c>
      <c r="X1" s="56" t="s">
        <v>38</v>
      </c>
      <c r="Y1" s="56" t="s">
        <v>39</v>
      </c>
      <c r="Z1" s="4"/>
      <c r="AA1" s="4"/>
    </row>
    <row r="2" spans="1:27" ht="16.95" customHeight="1" x14ac:dyDescent="0.4">
      <c r="A2" s="54">
        <v>1</v>
      </c>
      <c r="B2" s="4" t="s">
        <v>42</v>
      </c>
      <c r="C2" s="4" t="s">
        <v>43</v>
      </c>
      <c r="D2" s="4" t="s">
        <v>43</v>
      </c>
      <c r="E2" s="53" t="s">
        <v>40</v>
      </c>
      <c r="F2" s="53" t="s">
        <v>40</v>
      </c>
      <c r="G2" s="4" t="s">
        <v>43</v>
      </c>
      <c r="H2" s="4" t="s">
        <v>43</v>
      </c>
      <c r="I2" s="4" t="s">
        <v>43</v>
      </c>
      <c r="J2" s="4" t="s">
        <v>44</v>
      </c>
      <c r="K2" s="4" t="s">
        <v>42</v>
      </c>
      <c r="L2" s="4" t="s">
        <v>41</v>
      </c>
      <c r="M2" s="4" t="s">
        <v>43</v>
      </c>
      <c r="N2" s="4" t="s">
        <v>45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spans="1:27" ht="16.95" customHeight="1" x14ac:dyDescent="0.4">
      <c r="A3" s="17">
        <v>2</v>
      </c>
      <c r="B3" s="4" t="s">
        <v>43</v>
      </c>
      <c r="C3" s="4" t="s">
        <v>42</v>
      </c>
      <c r="D3" s="4" t="s">
        <v>52</v>
      </c>
      <c r="E3" s="53" t="s">
        <v>40</v>
      </c>
      <c r="F3" s="53" t="s">
        <v>40</v>
      </c>
      <c r="G3" s="4" t="s">
        <v>45</v>
      </c>
      <c r="H3" s="4" t="s">
        <v>44</v>
      </c>
      <c r="I3" s="4" t="s">
        <v>44</v>
      </c>
      <c r="J3" s="4" t="s">
        <v>42</v>
      </c>
      <c r="K3" s="4" t="s">
        <v>60</v>
      </c>
      <c r="L3" s="4" t="s">
        <v>42</v>
      </c>
      <c r="M3" s="4" t="s">
        <v>41</v>
      </c>
      <c r="N3" s="4" t="s">
        <v>60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1:27" ht="16.95" customHeight="1" x14ac:dyDescent="0.4">
      <c r="A4" s="55">
        <v>3</v>
      </c>
      <c r="B4" s="4" t="s">
        <v>41</v>
      </c>
      <c r="C4" s="4" t="s">
        <v>44</v>
      </c>
      <c r="D4" s="4" t="s">
        <v>41</v>
      </c>
      <c r="E4" s="53" t="s">
        <v>40</v>
      </c>
      <c r="F4" s="53" t="s">
        <v>40</v>
      </c>
      <c r="G4" s="4" t="s">
        <v>52</v>
      </c>
      <c r="H4" s="4" t="s">
        <v>60</v>
      </c>
      <c r="I4" s="4" t="s">
        <v>51</v>
      </c>
      <c r="J4" s="4" t="s">
        <v>45</v>
      </c>
      <c r="K4" s="4" t="s">
        <v>43</v>
      </c>
      <c r="L4" s="4" t="s">
        <v>44</v>
      </c>
      <c r="M4" s="4" t="s">
        <v>60</v>
      </c>
      <c r="N4" s="4" t="s">
        <v>43</v>
      </c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ht="16.95" customHeight="1" x14ac:dyDescent="0.4">
      <c r="A5" s="56">
        <v>4</v>
      </c>
      <c r="B5" s="4" t="s">
        <v>44</v>
      </c>
      <c r="C5" s="4" t="s">
        <v>41</v>
      </c>
      <c r="D5" s="4" t="s">
        <v>42</v>
      </c>
      <c r="E5" s="53" t="s">
        <v>40</v>
      </c>
      <c r="F5" s="53" t="s">
        <v>40</v>
      </c>
      <c r="G5" s="4" t="s">
        <v>42</v>
      </c>
      <c r="H5" s="4" t="s">
        <v>41</v>
      </c>
      <c r="I5" s="4" t="s">
        <v>46</v>
      </c>
      <c r="J5" s="4" t="s">
        <v>60</v>
      </c>
      <c r="K5" s="4" t="s">
        <v>52</v>
      </c>
      <c r="L5" s="4" t="s">
        <v>45</v>
      </c>
      <c r="M5" s="4" t="s">
        <v>44</v>
      </c>
      <c r="N5" s="4" t="s">
        <v>41</v>
      </c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spans="1:27" ht="16.95" customHeight="1" x14ac:dyDescent="0.4">
      <c r="A6" s="56">
        <v>5</v>
      </c>
      <c r="B6" s="4" t="s">
        <v>45</v>
      </c>
      <c r="C6" s="4" t="s">
        <v>53</v>
      </c>
      <c r="D6" s="4" t="s">
        <v>45</v>
      </c>
      <c r="E6" s="53" t="s">
        <v>40</v>
      </c>
      <c r="F6" s="53" t="s">
        <v>40</v>
      </c>
      <c r="G6" s="4" t="s">
        <v>60</v>
      </c>
      <c r="H6" s="4" t="s">
        <v>46</v>
      </c>
      <c r="I6" s="4" t="s">
        <v>52</v>
      </c>
      <c r="J6" s="4" t="s">
        <v>52</v>
      </c>
      <c r="K6" s="4" t="s">
        <v>44</v>
      </c>
      <c r="L6" s="4" t="s">
        <v>46</v>
      </c>
      <c r="M6" s="4" t="s">
        <v>52</v>
      </c>
      <c r="N6" s="4" t="s">
        <v>44</v>
      </c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ht="16.95" customHeight="1" x14ac:dyDescent="0.4">
      <c r="A7" s="56">
        <v>6</v>
      </c>
      <c r="B7" s="4" t="s">
        <v>60</v>
      </c>
      <c r="C7" s="4" t="s">
        <v>51</v>
      </c>
      <c r="D7" s="4" t="s">
        <v>44</v>
      </c>
      <c r="E7" s="53" t="s">
        <v>40</v>
      </c>
      <c r="F7" s="53" t="s">
        <v>40</v>
      </c>
      <c r="G7" s="4" t="s">
        <v>44</v>
      </c>
      <c r="H7" s="4" t="s">
        <v>50</v>
      </c>
      <c r="I7" s="4" t="s">
        <v>47</v>
      </c>
      <c r="J7" s="4" t="s">
        <v>46</v>
      </c>
      <c r="K7" s="4" t="s">
        <v>46</v>
      </c>
      <c r="L7" s="4" t="s">
        <v>47</v>
      </c>
      <c r="M7" s="4" t="s">
        <v>46</v>
      </c>
      <c r="N7" s="4" t="s">
        <v>46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27" ht="16.95" customHeight="1" x14ac:dyDescent="0.4">
      <c r="A8" s="56">
        <v>7</v>
      </c>
      <c r="B8" s="4" t="s">
        <v>53</v>
      </c>
      <c r="C8" s="4" t="s">
        <v>47</v>
      </c>
      <c r="D8" s="4" t="s">
        <v>51</v>
      </c>
      <c r="E8" s="53" t="s">
        <v>40</v>
      </c>
      <c r="F8" s="53" t="s">
        <v>40</v>
      </c>
      <c r="G8" s="4" t="s">
        <v>50</v>
      </c>
      <c r="H8" s="4" t="s">
        <v>47</v>
      </c>
      <c r="I8" s="4" t="s">
        <v>48</v>
      </c>
      <c r="J8" s="4" t="s">
        <v>51</v>
      </c>
      <c r="K8" s="4" t="s">
        <v>45</v>
      </c>
      <c r="L8" s="4" t="s">
        <v>48</v>
      </c>
      <c r="M8" s="4" t="s">
        <v>45</v>
      </c>
      <c r="N8" s="4" t="s">
        <v>42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27" ht="16.95" customHeight="1" x14ac:dyDescent="0.4">
      <c r="A9" s="56">
        <v>8</v>
      </c>
      <c r="B9" s="4" t="s">
        <v>48</v>
      </c>
      <c r="C9" s="4" t="s">
        <v>46</v>
      </c>
      <c r="D9" s="4" t="s">
        <v>60</v>
      </c>
      <c r="E9" s="53" t="s">
        <v>40</v>
      </c>
      <c r="F9" s="53" t="s">
        <v>40</v>
      </c>
      <c r="G9" s="4" t="s">
        <v>41</v>
      </c>
      <c r="H9" s="4" t="s">
        <v>51</v>
      </c>
      <c r="I9" s="4" t="s">
        <v>61</v>
      </c>
      <c r="J9" s="4" t="s">
        <v>47</v>
      </c>
      <c r="K9" s="4" t="s">
        <v>41</v>
      </c>
      <c r="L9" s="4" t="s">
        <v>49</v>
      </c>
      <c r="M9" s="4" t="s">
        <v>49</v>
      </c>
      <c r="N9" s="4" t="s">
        <v>47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ht="16.95" customHeight="1" x14ac:dyDescent="0.4">
      <c r="A10" s="56">
        <v>9</v>
      </c>
      <c r="B10" s="4" t="s">
        <v>49</v>
      </c>
      <c r="C10" s="4" t="s">
        <v>57</v>
      </c>
      <c r="D10" s="4" t="s">
        <v>47</v>
      </c>
      <c r="E10" s="53" t="s">
        <v>40</v>
      </c>
      <c r="F10" s="53" t="s">
        <v>40</v>
      </c>
      <c r="G10" s="4" t="s">
        <v>57</v>
      </c>
      <c r="H10" s="4" t="s">
        <v>57</v>
      </c>
      <c r="I10" s="4" t="s">
        <v>54</v>
      </c>
      <c r="J10" s="4" t="s">
        <v>48</v>
      </c>
      <c r="K10" s="4" t="s">
        <v>47</v>
      </c>
      <c r="L10" s="4" t="s">
        <v>50</v>
      </c>
      <c r="M10" s="4" t="s">
        <v>48</v>
      </c>
      <c r="N10" s="4" t="s">
        <v>62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ht="16.95" customHeight="1" x14ac:dyDescent="0.4">
      <c r="A11" s="56">
        <v>10</v>
      </c>
      <c r="B11" s="4" t="s">
        <v>51</v>
      </c>
      <c r="C11" s="4" t="s">
        <v>50</v>
      </c>
      <c r="D11" s="4" t="s">
        <v>54</v>
      </c>
      <c r="E11" s="53" t="s">
        <v>40</v>
      </c>
      <c r="F11" s="53" t="s">
        <v>40</v>
      </c>
      <c r="G11" s="4" t="s">
        <v>61</v>
      </c>
      <c r="H11" s="4" t="s">
        <v>53</v>
      </c>
      <c r="I11" s="4" t="s">
        <v>58</v>
      </c>
      <c r="J11" s="4" t="s">
        <v>50</v>
      </c>
      <c r="K11" s="4" t="s">
        <v>48</v>
      </c>
      <c r="L11" s="4" t="s">
        <v>51</v>
      </c>
      <c r="M11" s="4" t="s">
        <v>50</v>
      </c>
      <c r="N11" s="4" t="s">
        <v>48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 ht="16.95" customHeight="1" x14ac:dyDescent="0.4">
      <c r="A12" s="56">
        <v>11</v>
      </c>
      <c r="B12" s="4" t="s">
        <v>54</v>
      </c>
      <c r="C12" s="4" t="s">
        <v>62</v>
      </c>
      <c r="D12" s="4" t="s">
        <v>62</v>
      </c>
      <c r="E12" s="53" t="s">
        <v>40</v>
      </c>
      <c r="F12" s="53" t="s">
        <v>40</v>
      </c>
      <c r="G12" s="4" t="s">
        <v>53</v>
      </c>
      <c r="H12" s="4" t="s">
        <v>52</v>
      </c>
      <c r="I12" s="4" t="s">
        <v>54</v>
      </c>
      <c r="J12" s="4" t="s">
        <v>49</v>
      </c>
      <c r="K12" s="4" t="s">
        <v>49</v>
      </c>
      <c r="L12" s="4" t="s">
        <v>52</v>
      </c>
      <c r="M12" s="4" t="s">
        <v>51</v>
      </c>
      <c r="N12" s="4" t="s">
        <v>49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ht="16.95" customHeight="1" x14ac:dyDescent="0.4">
      <c r="A13" s="56">
        <v>12</v>
      </c>
      <c r="B13" s="4" t="s">
        <v>61</v>
      </c>
      <c r="C13" s="4" t="s">
        <v>48</v>
      </c>
      <c r="D13" s="4" t="s">
        <v>46</v>
      </c>
      <c r="E13" s="53" t="s">
        <v>40</v>
      </c>
      <c r="F13" s="53" t="s">
        <v>40</v>
      </c>
      <c r="G13" s="4" t="s">
        <v>49</v>
      </c>
      <c r="H13" s="4" t="s">
        <v>62</v>
      </c>
      <c r="I13" s="4" t="s">
        <v>42</v>
      </c>
      <c r="J13" s="4" t="s">
        <v>57</v>
      </c>
      <c r="K13" s="4" t="s">
        <v>62</v>
      </c>
      <c r="L13" s="4" t="s">
        <v>53</v>
      </c>
      <c r="M13" s="4" t="s">
        <v>47</v>
      </c>
      <c r="N13" s="4" t="s">
        <v>51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ht="16.95" customHeight="1" x14ac:dyDescent="0.4">
      <c r="A14" s="56">
        <v>13</v>
      </c>
      <c r="B14" s="4" t="s">
        <v>47</v>
      </c>
      <c r="C14" s="4" t="s">
        <v>56</v>
      </c>
      <c r="D14" s="4" t="s">
        <v>49</v>
      </c>
      <c r="E14" s="53" t="s">
        <v>40</v>
      </c>
      <c r="F14" s="53" t="s">
        <v>40</v>
      </c>
      <c r="G14" s="4" t="s">
        <v>54</v>
      </c>
      <c r="H14" s="4" t="s">
        <v>49</v>
      </c>
      <c r="I14" s="4" t="s">
        <v>62</v>
      </c>
      <c r="J14" s="4" t="s">
        <v>54</v>
      </c>
      <c r="K14" s="4" t="s">
        <v>51</v>
      </c>
      <c r="L14" s="4" t="s">
        <v>54</v>
      </c>
      <c r="M14" s="4" t="s">
        <v>62</v>
      </c>
      <c r="N14" s="4" t="s">
        <v>59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ht="16.95" customHeight="1" x14ac:dyDescent="0.4">
      <c r="A15" s="56">
        <v>14</v>
      </c>
      <c r="B15" s="4" t="s">
        <v>50</v>
      </c>
      <c r="C15" s="4" t="s">
        <v>54</v>
      </c>
      <c r="D15" s="4" t="s">
        <v>48</v>
      </c>
      <c r="E15" s="53" t="s">
        <v>40</v>
      </c>
      <c r="F15" s="53" t="s">
        <v>40</v>
      </c>
      <c r="G15" s="4" t="s">
        <v>48</v>
      </c>
      <c r="H15" s="4" t="s">
        <v>54</v>
      </c>
      <c r="I15" s="4" t="s">
        <v>50</v>
      </c>
      <c r="J15" s="4" t="s">
        <v>55</v>
      </c>
      <c r="K15" s="4" t="s">
        <v>53</v>
      </c>
      <c r="L15" s="4" t="s">
        <v>55</v>
      </c>
      <c r="M15" s="4" t="s">
        <v>53</v>
      </c>
      <c r="N15" s="4" t="s">
        <v>58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ht="16.95" customHeight="1" x14ac:dyDescent="0.4">
      <c r="A16" s="56">
        <v>15</v>
      </c>
      <c r="B16" s="4" t="s">
        <v>57</v>
      </c>
      <c r="C16" s="4" t="s">
        <v>55</v>
      </c>
      <c r="D16" s="4" t="s">
        <v>57</v>
      </c>
      <c r="E16" s="53" t="s">
        <v>40</v>
      </c>
      <c r="F16" s="53" t="s">
        <v>40</v>
      </c>
      <c r="G16" s="4" t="s">
        <v>58</v>
      </c>
      <c r="H16" s="4" t="s">
        <v>59</v>
      </c>
      <c r="I16" s="4" t="s">
        <v>55</v>
      </c>
      <c r="J16" s="4" t="s">
        <v>41</v>
      </c>
      <c r="K16" s="4" t="s">
        <v>50</v>
      </c>
      <c r="L16" s="4" t="s">
        <v>43</v>
      </c>
      <c r="M16" s="4" t="s">
        <v>61</v>
      </c>
      <c r="N16" s="4" t="s">
        <v>50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ht="16.95" customHeight="1" x14ac:dyDescent="0.4">
      <c r="A17" s="56">
        <v>16</v>
      </c>
      <c r="B17" s="4" t="s">
        <v>55</v>
      </c>
      <c r="C17" s="4" t="s">
        <v>60</v>
      </c>
      <c r="D17" s="4" t="s">
        <v>50</v>
      </c>
      <c r="E17" s="53" t="s">
        <v>40</v>
      </c>
      <c r="F17" s="53" t="s">
        <v>40</v>
      </c>
      <c r="G17" s="4" t="s">
        <v>55</v>
      </c>
      <c r="H17" s="4" t="s">
        <v>56</v>
      </c>
      <c r="I17" s="4" t="s">
        <v>57</v>
      </c>
      <c r="J17" s="4" t="s">
        <v>43</v>
      </c>
      <c r="K17" s="4" t="s">
        <v>54</v>
      </c>
      <c r="L17" s="4" t="s">
        <v>56</v>
      </c>
      <c r="M17" s="4" t="s">
        <v>57</v>
      </c>
      <c r="N17" s="4" t="s">
        <v>54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27" ht="16.95" customHeight="1" x14ac:dyDescent="0.4">
      <c r="A18" s="56">
        <v>17</v>
      </c>
      <c r="B18" s="4" t="s">
        <v>59</v>
      </c>
      <c r="C18" s="4" t="s">
        <v>58</v>
      </c>
      <c r="D18" s="4" t="s">
        <v>55</v>
      </c>
      <c r="E18" s="53" t="s">
        <v>40</v>
      </c>
      <c r="F18" s="53" t="s">
        <v>40</v>
      </c>
      <c r="G18" s="4" t="s">
        <v>59</v>
      </c>
      <c r="H18" s="4" t="s">
        <v>55</v>
      </c>
      <c r="I18" s="4" t="s">
        <v>41</v>
      </c>
      <c r="J18" s="4" t="s">
        <v>53</v>
      </c>
      <c r="K18" s="4" t="s">
        <v>61</v>
      </c>
      <c r="L18" s="4" t="s">
        <v>57</v>
      </c>
      <c r="M18" s="4" t="s">
        <v>54</v>
      </c>
      <c r="N18" s="4" t="s">
        <v>61</v>
      </c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27" ht="16.95" customHeight="1" x14ac:dyDescent="0.4">
      <c r="A19" s="56">
        <v>18</v>
      </c>
      <c r="B19" s="4" t="s">
        <v>58</v>
      </c>
      <c r="C19" s="4" t="s">
        <v>59</v>
      </c>
      <c r="D19" s="4" t="s">
        <v>58</v>
      </c>
      <c r="E19" s="53" t="s">
        <v>40</v>
      </c>
      <c r="F19" s="53" t="s">
        <v>40</v>
      </c>
      <c r="G19" s="4" t="s">
        <v>56</v>
      </c>
      <c r="H19" s="4" t="s">
        <v>45</v>
      </c>
      <c r="I19" s="4" t="s">
        <v>59</v>
      </c>
      <c r="J19" s="4" t="s">
        <v>61</v>
      </c>
      <c r="K19" s="4" t="s">
        <v>58</v>
      </c>
      <c r="L19" s="4" t="s">
        <v>58</v>
      </c>
      <c r="M19" s="4" t="s">
        <v>56</v>
      </c>
      <c r="N19" s="4" t="s">
        <v>57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27" ht="16.95" customHeight="1" x14ac:dyDescent="0.4">
      <c r="A20" s="56">
        <v>19</v>
      </c>
      <c r="B20" s="4" t="s">
        <v>56</v>
      </c>
      <c r="C20" s="4" t="s">
        <v>52</v>
      </c>
      <c r="D20" s="4" t="s">
        <v>56</v>
      </c>
      <c r="E20" s="53" t="s">
        <v>40</v>
      </c>
      <c r="F20" s="53" t="s">
        <v>40</v>
      </c>
      <c r="G20" s="4" t="s">
        <v>62</v>
      </c>
      <c r="H20" s="4" t="s">
        <v>42</v>
      </c>
      <c r="I20" s="4" t="s">
        <v>45</v>
      </c>
      <c r="J20" s="4" t="s">
        <v>58</v>
      </c>
      <c r="K20" s="4" t="s">
        <v>59</v>
      </c>
      <c r="L20" s="4" t="s">
        <v>59</v>
      </c>
      <c r="M20" s="4" t="s">
        <v>58</v>
      </c>
      <c r="N20" s="4" t="s">
        <v>53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 ht="16.95" customHeight="1" x14ac:dyDescent="0.4">
      <c r="A21" s="56">
        <v>20</v>
      </c>
      <c r="B21" s="4" t="s">
        <v>46</v>
      </c>
      <c r="C21" s="4" t="s">
        <v>45</v>
      </c>
      <c r="D21" s="4" t="s">
        <v>61</v>
      </c>
      <c r="E21" s="53" t="s">
        <v>40</v>
      </c>
      <c r="F21" s="53" t="s">
        <v>40</v>
      </c>
      <c r="G21" s="4" t="s">
        <v>47</v>
      </c>
      <c r="H21" s="4" t="s">
        <v>58</v>
      </c>
      <c r="I21" s="4" t="s">
        <v>53</v>
      </c>
      <c r="J21" s="4" t="s">
        <v>62</v>
      </c>
      <c r="K21" s="4" t="s">
        <v>57</v>
      </c>
      <c r="L21" s="4" t="s">
        <v>60</v>
      </c>
      <c r="M21" s="4" t="s">
        <v>59</v>
      </c>
      <c r="N21" s="4" t="s">
        <v>52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27" ht="16.95" customHeight="1" x14ac:dyDescent="0.4">
      <c r="A22" s="56">
        <v>21</v>
      </c>
      <c r="B22" s="4" t="s">
        <v>52</v>
      </c>
      <c r="C22" s="4" t="s">
        <v>49</v>
      </c>
      <c r="D22" s="4" t="s">
        <v>59</v>
      </c>
      <c r="E22" s="53" t="s">
        <v>40</v>
      </c>
      <c r="F22" s="53" t="s">
        <v>40</v>
      </c>
      <c r="G22" s="4" t="s">
        <v>51</v>
      </c>
      <c r="H22" s="4" t="s">
        <v>61</v>
      </c>
      <c r="I22" s="4" t="s">
        <v>56</v>
      </c>
      <c r="J22" s="4" t="s">
        <v>56</v>
      </c>
      <c r="K22" s="4" t="s">
        <v>55</v>
      </c>
      <c r="L22" s="4" t="s">
        <v>61</v>
      </c>
      <c r="M22" s="4" t="s">
        <v>55</v>
      </c>
      <c r="N22" s="4" t="s">
        <v>55</v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ht="16.95" customHeight="1" x14ac:dyDescent="0.4">
      <c r="A23" s="56">
        <v>22</v>
      </c>
      <c r="B23" s="4" t="s">
        <v>62</v>
      </c>
      <c r="C23" s="4" t="s">
        <v>61</v>
      </c>
      <c r="D23" s="4" t="s">
        <v>53</v>
      </c>
      <c r="E23" s="53" t="s">
        <v>40</v>
      </c>
      <c r="F23" s="53" t="s">
        <v>40</v>
      </c>
      <c r="G23" s="4" t="s">
        <v>46</v>
      </c>
      <c r="H23" s="4" t="s">
        <v>48</v>
      </c>
      <c r="I23" s="4" t="s">
        <v>60</v>
      </c>
      <c r="J23" s="4" t="s">
        <v>59</v>
      </c>
      <c r="K23" s="4" t="s">
        <v>56</v>
      </c>
      <c r="L23" s="4" t="s">
        <v>62</v>
      </c>
      <c r="M23" s="4" t="s">
        <v>42</v>
      </c>
      <c r="N23" s="4" t="s">
        <v>56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7" ht="16.95" customHeight="1" x14ac:dyDescent="0.4">
      <c r="A24" s="1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3"/>
    </row>
    <row r="25" spans="1:27" ht="16.95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7" ht="16.95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7" ht="16.95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7" ht="16.95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7" ht="16.95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7" ht="16.95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3895B-FD38-40B2-B02B-7E14ACC06A97}">
  <sheetPr>
    <tabColor theme="4" tint="0.39997558519241921"/>
  </sheetPr>
  <dimension ref="A1:G30"/>
  <sheetViews>
    <sheetView zoomScale="70" zoomScaleNormal="70" workbookViewId="0">
      <selection activeCell="I14" sqref="I14"/>
    </sheetView>
  </sheetViews>
  <sheetFormatPr defaultRowHeight="14.4" x14ac:dyDescent="0.3"/>
  <cols>
    <col min="1" max="1" width="17.77734375" customWidth="1"/>
    <col min="2" max="7" width="20.77734375" customWidth="1"/>
  </cols>
  <sheetData>
    <row r="1" spans="1:7" ht="21.6" x14ac:dyDescent="0.4">
      <c r="B1" s="56" t="s">
        <v>17</v>
      </c>
      <c r="C1" s="56" t="s">
        <v>21</v>
      </c>
      <c r="D1" s="56" t="s">
        <v>22</v>
      </c>
      <c r="E1" s="56" t="s">
        <v>26</v>
      </c>
      <c r="F1" s="56" t="s">
        <v>29</v>
      </c>
      <c r="G1" s="56" t="s">
        <v>33</v>
      </c>
    </row>
    <row r="2" spans="1:7" ht="21.6" x14ac:dyDescent="0.4">
      <c r="A2" s="54">
        <v>1</v>
      </c>
      <c r="B2" s="4" t="s">
        <v>42</v>
      </c>
      <c r="C2" s="4" t="s">
        <v>45</v>
      </c>
      <c r="D2" s="4" t="s">
        <v>42</v>
      </c>
      <c r="E2" s="4" t="s">
        <v>43</v>
      </c>
      <c r="F2" s="4"/>
      <c r="G2" s="4"/>
    </row>
    <row r="3" spans="1:7" ht="21.6" x14ac:dyDescent="0.4">
      <c r="A3" s="17">
        <v>2</v>
      </c>
      <c r="B3" s="4" t="s">
        <v>41</v>
      </c>
      <c r="C3" s="4" t="s">
        <v>52</v>
      </c>
      <c r="D3" s="4" t="s">
        <v>45</v>
      </c>
      <c r="E3" s="4" t="s">
        <v>44</v>
      </c>
      <c r="F3" s="4"/>
      <c r="G3" s="4"/>
    </row>
    <row r="4" spans="1:7" ht="21.6" x14ac:dyDescent="0.4">
      <c r="A4" s="55">
        <v>3</v>
      </c>
      <c r="B4" s="4" t="s">
        <v>44</v>
      </c>
      <c r="C4" s="4" t="s">
        <v>41</v>
      </c>
      <c r="D4" s="4" t="s">
        <v>43</v>
      </c>
      <c r="E4" s="4" t="s">
        <v>45</v>
      </c>
      <c r="F4" s="4"/>
      <c r="G4" s="4"/>
    </row>
    <row r="5" spans="1:7" ht="21.6" x14ac:dyDescent="0.4">
      <c r="A5" s="56">
        <v>4</v>
      </c>
      <c r="B5" s="4" t="s">
        <v>45</v>
      </c>
      <c r="C5" s="4" t="s">
        <v>42</v>
      </c>
      <c r="D5" s="4" t="s">
        <v>52</v>
      </c>
      <c r="E5" s="4" t="s">
        <v>42</v>
      </c>
      <c r="F5" s="4"/>
      <c r="G5" s="4"/>
    </row>
    <row r="6" spans="1:7" ht="21.6" x14ac:dyDescent="0.4">
      <c r="A6" s="56">
        <v>5</v>
      </c>
      <c r="B6" s="4" t="s">
        <v>43</v>
      </c>
      <c r="C6" s="4" t="s">
        <v>60</v>
      </c>
      <c r="D6" s="4" t="s">
        <v>41</v>
      </c>
      <c r="E6" s="4" t="s">
        <v>41</v>
      </c>
      <c r="F6" s="4"/>
      <c r="G6" s="4"/>
    </row>
    <row r="7" spans="1:7" ht="21.6" x14ac:dyDescent="0.4">
      <c r="A7" s="56">
        <v>6</v>
      </c>
      <c r="B7" s="4" t="s">
        <v>52</v>
      </c>
      <c r="C7" s="4" t="s">
        <v>43</v>
      </c>
      <c r="D7" s="4" t="s">
        <v>44</v>
      </c>
      <c r="E7" s="4" t="s">
        <v>60</v>
      </c>
      <c r="F7" s="4"/>
      <c r="G7" s="4"/>
    </row>
    <row r="8" spans="1:7" ht="21.6" x14ac:dyDescent="0.4">
      <c r="A8" s="56">
        <v>7</v>
      </c>
      <c r="B8" s="4" t="s">
        <v>47</v>
      </c>
      <c r="C8" s="4" t="s">
        <v>44</v>
      </c>
      <c r="D8" s="4" t="s">
        <v>60</v>
      </c>
      <c r="E8" s="4" t="s">
        <v>52</v>
      </c>
      <c r="F8" s="4"/>
      <c r="G8" s="4"/>
    </row>
    <row r="9" spans="1:7" ht="21.6" x14ac:dyDescent="0.4">
      <c r="A9" s="56">
        <v>8</v>
      </c>
      <c r="B9" s="4" t="s">
        <v>53</v>
      </c>
      <c r="C9" s="4" t="s">
        <v>51</v>
      </c>
      <c r="D9" s="4" t="s">
        <v>48</v>
      </c>
      <c r="E9" s="4" t="s">
        <v>47</v>
      </c>
      <c r="F9" s="4"/>
      <c r="G9" s="4"/>
    </row>
    <row r="10" spans="1:7" ht="21.6" x14ac:dyDescent="0.4">
      <c r="A10" s="56">
        <v>9</v>
      </c>
      <c r="B10" s="4" t="s">
        <v>60</v>
      </c>
      <c r="C10" s="4" t="s">
        <v>46</v>
      </c>
      <c r="D10" s="4" t="s">
        <v>50</v>
      </c>
      <c r="E10" s="4" t="s">
        <v>46</v>
      </c>
      <c r="F10" s="4"/>
      <c r="G10" s="4"/>
    </row>
    <row r="11" spans="1:7" ht="21.6" x14ac:dyDescent="0.4">
      <c r="A11" s="56">
        <v>10</v>
      </c>
      <c r="B11" s="4" t="s">
        <v>54</v>
      </c>
      <c r="C11" s="4" t="s">
        <v>50</v>
      </c>
      <c r="D11" s="4" t="s">
        <v>57</v>
      </c>
      <c r="E11" s="4" t="s">
        <v>48</v>
      </c>
      <c r="F11" s="4"/>
      <c r="G11" s="4"/>
    </row>
    <row r="12" spans="1:7" ht="21.6" x14ac:dyDescent="0.4">
      <c r="A12" s="56">
        <v>11</v>
      </c>
      <c r="B12" s="4" t="s">
        <v>51</v>
      </c>
      <c r="C12" s="4" t="s">
        <v>54</v>
      </c>
      <c r="D12" s="4" t="s">
        <v>47</v>
      </c>
      <c r="E12" s="4" t="s">
        <v>51</v>
      </c>
      <c r="F12" s="4"/>
      <c r="G12" s="4"/>
    </row>
    <row r="13" spans="1:7" ht="21.6" x14ac:dyDescent="0.4">
      <c r="A13" s="56">
        <v>12</v>
      </c>
      <c r="B13" s="4" t="s">
        <v>57</v>
      </c>
      <c r="C13" s="4" t="s">
        <v>53</v>
      </c>
      <c r="D13" s="4" t="s">
        <v>49</v>
      </c>
      <c r="E13" s="4" t="s">
        <v>50</v>
      </c>
      <c r="F13" s="4"/>
      <c r="G13" s="4"/>
    </row>
    <row r="14" spans="1:7" ht="21.6" x14ac:dyDescent="0.4">
      <c r="A14" s="56">
        <v>13</v>
      </c>
      <c r="B14" s="4" t="s">
        <v>49</v>
      </c>
      <c r="C14" s="4" t="s">
        <v>57</v>
      </c>
      <c r="D14" s="4" t="s">
        <v>54</v>
      </c>
      <c r="E14" s="4" t="s">
        <v>49</v>
      </c>
      <c r="F14" s="4"/>
      <c r="G14" s="4"/>
    </row>
    <row r="15" spans="1:7" ht="21.6" x14ac:dyDescent="0.4">
      <c r="A15" s="56">
        <v>14</v>
      </c>
      <c r="B15" s="4" t="s">
        <v>50</v>
      </c>
      <c r="C15" s="4" t="s">
        <v>47</v>
      </c>
      <c r="D15" s="4" t="s">
        <v>55</v>
      </c>
      <c r="E15" s="4" t="s">
        <v>53</v>
      </c>
      <c r="F15" s="4"/>
      <c r="G15" s="4"/>
    </row>
    <row r="16" spans="1:7" ht="21.6" x14ac:dyDescent="0.4">
      <c r="A16" s="56">
        <v>15</v>
      </c>
      <c r="B16" s="4" t="s">
        <v>46</v>
      </c>
      <c r="C16" s="4" t="s">
        <v>58</v>
      </c>
      <c r="D16" s="4" t="s">
        <v>62</v>
      </c>
      <c r="E16" s="4" t="s">
        <v>62</v>
      </c>
      <c r="F16" s="4"/>
      <c r="G16" s="4"/>
    </row>
    <row r="17" spans="1:7" ht="21.6" x14ac:dyDescent="0.4">
      <c r="A17" s="56">
        <v>16</v>
      </c>
      <c r="B17" s="4" t="s">
        <v>61</v>
      </c>
      <c r="C17" s="4" t="s">
        <v>55</v>
      </c>
      <c r="D17" s="4" t="s">
        <v>59</v>
      </c>
      <c r="E17" s="4" t="s">
        <v>54</v>
      </c>
      <c r="F17" s="4"/>
      <c r="G17" s="4"/>
    </row>
    <row r="18" spans="1:7" ht="21.6" x14ac:dyDescent="0.4">
      <c r="A18" s="56">
        <v>17</v>
      </c>
      <c r="B18" s="4" t="s">
        <v>58</v>
      </c>
      <c r="C18" s="4" t="s">
        <v>59</v>
      </c>
      <c r="D18" s="4" t="s">
        <v>56</v>
      </c>
      <c r="E18" s="4" t="s">
        <v>57</v>
      </c>
      <c r="F18" s="4"/>
      <c r="G18" s="4"/>
    </row>
    <row r="19" spans="1:7" ht="21.6" x14ac:dyDescent="0.4">
      <c r="A19" s="56">
        <v>18</v>
      </c>
      <c r="B19" s="4" t="s">
        <v>59</v>
      </c>
      <c r="C19" s="4" t="s">
        <v>58</v>
      </c>
      <c r="D19" s="4" t="s">
        <v>53</v>
      </c>
      <c r="E19" s="4" t="s">
        <v>61</v>
      </c>
      <c r="F19" s="4"/>
      <c r="G19" s="4"/>
    </row>
    <row r="20" spans="1:7" ht="21.6" x14ac:dyDescent="0.4">
      <c r="A20" s="56">
        <v>19</v>
      </c>
      <c r="B20" s="4" t="s">
        <v>55</v>
      </c>
      <c r="C20" s="4" t="s">
        <v>56</v>
      </c>
      <c r="D20" s="4" t="s">
        <v>61</v>
      </c>
      <c r="E20" s="4" t="s">
        <v>56</v>
      </c>
      <c r="F20" s="4"/>
      <c r="G20" s="4"/>
    </row>
    <row r="21" spans="1:7" ht="21.6" x14ac:dyDescent="0.4">
      <c r="A21" s="56">
        <v>20</v>
      </c>
      <c r="B21" s="4" t="s">
        <v>62</v>
      </c>
      <c r="C21" s="4" t="s">
        <v>62</v>
      </c>
      <c r="D21" s="4" t="s">
        <v>51</v>
      </c>
      <c r="E21" s="4" t="s">
        <v>58</v>
      </c>
      <c r="F21" s="4"/>
      <c r="G21" s="4"/>
    </row>
    <row r="22" spans="1:7" ht="21.6" x14ac:dyDescent="0.4">
      <c r="A22" s="56">
        <v>21</v>
      </c>
      <c r="B22" s="4" t="s">
        <v>56</v>
      </c>
      <c r="C22" s="4" t="s">
        <v>48</v>
      </c>
      <c r="D22" s="4" t="s">
        <v>46</v>
      </c>
      <c r="E22" s="4" t="s">
        <v>59</v>
      </c>
      <c r="F22" s="4"/>
      <c r="G22" s="4"/>
    </row>
    <row r="23" spans="1:7" ht="21.6" x14ac:dyDescent="0.4">
      <c r="A23" s="56">
        <v>22</v>
      </c>
      <c r="B23" s="4" t="s">
        <v>48</v>
      </c>
      <c r="C23" s="4" t="s">
        <v>49</v>
      </c>
      <c r="D23" s="4" t="s">
        <v>58</v>
      </c>
      <c r="E23" s="4" t="s">
        <v>55</v>
      </c>
      <c r="F23" s="4"/>
      <c r="G23" s="4"/>
    </row>
    <row r="30" spans="1:7" x14ac:dyDescent="0.3">
      <c r="B30">
        <f>MATCH("CHINA",'Sprint Race Results'!$B$1:$G$1,0)</f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8A18E-46E4-49B6-AC89-F0E760AA77C3}">
  <sheetPr>
    <tabColor rgb="FFFFC000"/>
  </sheetPr>
  <dimension ref="A1:BD23"/>
  <sheetViews>
    <sheetView zoomScale="70" zoomScaleNormal="70" workbookViewId="0">
      <selection activeCell="A19" sqref="A19"/>
    </sheetView>
  </sheetViews>
  <sheetFormatPr defaultRowHeight="14.4" x14ac:dyDescent="0.3"/>
  <cols>
    <col min="1" max="25" width="16.77734375" customWidth="1"/>
    <col min="54" max="56" width="16.77734375" customWidth="1"/>
  </cols>
  <sheetData>
    <row r="1" spans="1:56" ht="21.6" x14ac:dyDescent="0.4">
      <c r="B1" s="2" t="s">
        <v>16</v>
      </c>
      <c r="C1" s="41" t="s">
        <v>17</v>
      </c>
      <c r="D1" s="2" t="s">
        <v>18</v>
      </c>
      <c r="E1" s="2" t="s">
        <v>19</v>
      </c>
      <c r="F1" s="2" t="s">
        <v>20</v>
      </c>
      <c r="G1" s="41" t="s">
        <v>21</v>
      </c>
      <c r="H1" s="41" t="s">
        <v>22</v>
      </c>
      <c r="I1" s="2" t="s">
        <v>23</v>
      </c>
      <c r="J1" s="2" t="s">
        <v>24</v>
      </c>
      <c r="K1" s="2" t="s">
        <v>25</v>
      </c>
      <c r="L1" s="41" t="s">
        <v>26</v>
      </c>
      <c r="M1" s="2" t="s">
        <v>27</v>
      </c>
      <c r="N1" s="2" t="s">
        <v>28</v>
      </c>
      <c r="O1" s="41" t="s">
        <v>29</v>
      </c>
      <c r="P1" s="2" t="s">
        <v>30</v>
      </c>
      <c r="Q1" s="2" t="s">
        <v>31</v>
      </c>
      <c r="R1" s="2" t="s">
        <v>32</v>
      </c>
      <c r="S1" s="41" t="s">
        <v>33</v>
      </c>
      <c r="T1" s="2" t="s">
        <v>34</v>
      </c>
      <c r="U1" s="2" t="s">
        <v>35</v>
      </c>
      <c r="V1" s="2" t="s">
        <v>36</v>
      </c>
      <c r="W1" s="2" t="s">
        <v>37</v>
      </c>
      <c r="X1" s="2" t="s">
        <v>38</v>
      </c>
      <c r="Y1" s="2" t="s">
        <v>39</v>
      </c>
      <c r="AB1" s="12" t="s">
        <v>43</v>
      </c>
      <c r="AC1" s="12" t="s">
        <v>42</v>
      </c>
      <c r="AD1" s="9" t="s">
        <v>44</v>
      </c>
      <c r="AE1" s="9" t="s">
        <v>41</v>
      </c>
      <c r="AF1" s="8" t="s">
        <v>45</v>
      </c>
      <c r="BB1" s="44" t="s">
        <v>1</v>
      </c>
      <c r="BC1" s="44" t="s">
        <v>3</v>
      </c>
      <c r="BD1" s="44" t="s">
        <v>94</v>
      </c>
    </row>
    <row r="2" spans="1:56" ht="21.6" x14ac:dyDescent="0.4">
      <c r="A2" s="12" t="s">
        <v>64</v>
      </c>
      <c r="B2">
        <f>'Drivers'' Standings'!C2</f>
        <v>18</v>
      </c>
      <c r="C2">
        <f>B2+'Drivers'' Standings'!D2</f>
        <v>47</v>
      </c>
      <c r="D2">
        <f>C2+'Drivers'' Standings'!E2</f>
        <v>72</v>
      </c>
      <c r="E2">
        <f>D2+'Drivers'' Standings'!F2</f>
        <v>72</v>
      </c>
      <c r="F2">
        <f>E2+'Drivers'' Standings'!G2</f>
        <v>72</v>
      </c>
      <c r="G2">
        <f>F2+'Drivers'' Standings'!H2</f>
        <v>100</v>
      </c>
      <c r="H2">
        <f>G2+'Drivers'' Standings'!I2</f>
        <v>131</v>
      </c>
      <c r="I2">
        <f>H2+'Drivers'' Standings'!J2</f>
        <v>156</v>
      </c>
      <c r="J2">
        <f>I2+'Drivers'' Standings'!K2</f>
        <v>156</v>
      </c>
      <c r="K2">
        <f>J2+'Drivers'' Standings'!L2</f>
        <v>171</v>
      </c>
      <c r="L2">
        <f>K2+'Drivers'' Standings'!M2</f>
        <v>179</v>
      </c>
      <c r="M2">
        <f>L2+'Drivers'' Standings'!N2</f>
        <v>204</v>
      </c>
      <c r="N2">
        <f>M2+'Drivers'' Standings'!O2</f>
        <v>219</v>
      </c>
      <c r="O2">
        <f>N2+'Drivers'' Standings'!P2</f>
        <v>219</v>
      </c>
      <c r="P2">
        <f>O2+'Drivers'' Standings'!Q2</f>
        <v>219</v>
      </c>
      <c r="Q2">
        <f>P2+'Drivers'' Standings'!R2</f>
        <v>219</v>
      </c>
      <c r="R2">
        <f>Q2+'Drivers'' Standings'!S2</f>
        <v>219</v>
      </c>
      <c r="S2">
        <f>R2+'Drivers'' Standings'!T2</f>
        <v>219</v>
      </c>
      <c r="T2">
        <f>S2+'Drivers'' Standings'!U2</f>
        <v>219</v>
      </c>
      <c r="U2">
        <f>T2+'Drivers'' Standings'!V2</f>
        <v>219</v>
      </c>
      <c r="V2">
        <f>U2+'Drivers'' Standings'!W2</f>
        <v>219</v>
      </c>
      <c r="W2">
        <f>V2+'Drivers'' Standings'!X2</f>
        <v>219</v>
      </c>
      <c r="X2">
        <f>W2+'Drivers'' Standings'!Y2</f>
        <v>219</v>
      </c>
      <c r="Y2">
        <f>X2+'Drivers'' Standings'!Z2</f>
        <v>219</v>
      </c>
      <c r="AB2" t="s">
        <v>73</v>
      </c>
      <c r="AC2" t="s">
        <v>74</v>
      </c>
      <c r="AD2" t="s">
        <v>76</v>
      </c>
      <c r="AE2" t="s">
        <v>75</v>
      </c>
      <c r="AF2" t="s">
        <v>64</v>
      </c>
      <c r="BB2" s="44" t="str">
        <f t="shared" ref="BB2:BB23" si="0">A2</f>
        <v>Kimi Antonelli</v>
      </c>
      <c r="BC2" s="44">
        <f>Y2</f>
        <v>219</v>
      </c>
      <c r="BD2" s="44">
        <f>MAX($BC$2:$BC$23)-BC2</f>
        <v>0</v>
      </c>
    </row>
    <row r="3" spans="1:56" ht="21.6" x14ac:dyDescent="0.4">
      <c r="A3" s="12" t="s">
        <v>73</v>
      </c>
      <c r="B3">
        <f>'Drivers'' Standings'!C3</f>
        <v>25</v>
      </c>
      <c r="C3">
        <f>B3+'Drivers'' Standings'!D3</f>
        <v>51</v>
      </c>
      <c r="D3">
        <f>C3+'Drivers'' Standings'!E3</f>
        <v>63</v>
      </c>
      <c r="E3">
        <f>D3+'Drivers'' Standings'!F3</f>
        <v>63</v>
      </c>
      <c r="F3">
        <f>E3+'Drivers'' Standings'!G3</f>
        <v>63</v>
      </c>
      <c r="G3">
        <f>F3+'Drivers'' Standings'!H3</f>
        <v>80</v>
      </c>
      <c r="H3">
        <f>G3+'Drivers'' Standings'!I3</f>
        <v>88</v>
      </c>
      <c r="I3">
        <f>H3+'Drivers'' Standings'!J3</f>
        <v>88</v>
      </c>
      <c r="J3">
        <f>I3+'Drivers'' Standings'!K3</f>
        <v>106</v>
      </c>
      <c r="K3">
        <f>J3+'Drivers'' Standings'!L3</f>
        <v>131</v>
      </c>
      <c r="L3">
        <f>K3+'Drivers'' Standings'!M3</f>
        <v>154</v>
      </c>
      <c r="M3">
        <f>L3+'Drivers'' Standings'!N3</f>
        <v>154</v>
      </c>
      <c r="N3">
        <f>M3+'Drivers'' Standings'!O3</f>
        <v>160</v>
      </c>
      <c r="O3">
        <f>N3+'Drivers'' Standings'!P3</f>
        <v>160</v>
      </c>
      <c r="P3">
        <f>O3+'Drivers'' Standings'!Q3</f>
        <v>160</v>
      </c>
      <c r="Q3">
        <f>P3+'Drivers'' Standings'!R3</f>
        <v>160</v>
      </c>
      <c r="R3">
        <f>Q3+'Drivers'' Standings'!S3</f>
        <v>160</v>
      </c>
      <c r="S3">
        <f>R3+'Drivers'' Standings'!T3</f>
        <v>160</v>
      </c>
      <c r="T3">
        <f>S3+'Drivers'' Standings'!U3</f>
        <v>160</v>
      </c>
      <c r="U3">
        <f>T3+'Drivers'' Standings'!V3</f>
        <v>160</v>
      </c>
      <c r="V3">
        <f>U3+'Drivers'' Standings'!W3</f>
        <v>160</v>
      </c>
      <c r="W3">
        <f>V3+'Drivers'' Standings'!X3</f>
        <v>160</v>
      </c>
      <c r="X3">
        <f>W3+'Drivers'' Standings'!Y3</f>
        <v>160</v>
      </c>
      <c r="Y3">
        <f>X3+'Drivers'' Standings'!Z3</f>
        <v>160</v>
      </c>
      <c r="BB3" s="44" t="str">
        <f t="shared" si="0"/>
        <v>George Russell</v>
      </c>
      <c r="BC3" s="44">
        <f t="shared" ref="BC3:BC23" si="1">Y3</f>
        <v>160</v>
      </c>
      <c r="BD3" s="44">
        <f t="shared" ref="BD3:BD23" si="2">MAX($BC$2:$BC$23)-BC3</f>
        <v>59</v>
      </c>
    </row>
    <row r="4" spans="1:56" ht="21.6" x14ac:dyDescent="0.4">
      <c r="A4" s="9" t="s">
        <v>74</v>
      </c>
      <c r="B4">
        <f>'Drivers'' Standings'!C4</f>
        <v>12</v>
      </c>
      <c r="C4">
        <f>B4+'Drivers'' Standings'!D4</f>
        <v>33</v>
      </c>
      <c r="D4">
        <f>C4+'Drivers'' Standings'!E4</f>
        <v>41</v>
      </c>
      <c r="E4">
        <f>D4+'Drivers'' Standings'!F4</f>
        <v>41</v>
      </c>
      <c r="F4">
        <f>E4+'Drivers'' Standings'!G4</f>
        <v>41</v>
      </c>
      <c r="G4">
        <f>F4+'Drivers'' Standings'!H4</f>
        <v>51</v>
      </c>
      <c r="H4">
        <f>G4+'Drivers'' Standings'!I4</f>
        <v>72</v>
      </c>
      <c r="I4">
        <f>H4+'Drivers'' Standings'!J4</f>
        <v>90</v>
      </c>
      <c r="J4">
        <f>I4+'Drivers'' Standings'!K4</f>
        <v>115</v>
      </c>
      <c r="K4">
        <f>J4+'Drivers'' Standings'!L4</f>
        <v>125</v>
      </c>
      <c r="L4">
        <f>K4+'Drivers'' Standings'!M4</f>
        <v>147</v>
      </c>
      <c r="M4">
        <f>L4+'Drivers'' Standings'!N4</f>
        <v>159</v>
      </c>
      <c r="N4">
        <f>M4+'Drivers'' Standings'!O4</f>
        <v>169</v>
      </c>
      <c r="O4">
        <f>N4+'Drivers'' Standings'!P4</f>
        <v>169</v>
      </c>
      <c r="P4">
        <f>O4+'Drivers'' Standings'!Q4</f>
        <v>169</v>
      </c>
      <c r="Q4">
        <f>P4+'Drivers'' Standings'!R4</f>
        <v>169</v>
      </c>
      <c r="R4">
        <f>Q4+'Drivers'' Standings'!S4</f>
        <v>169</v>
      </c>
      <c r="S4">
        <f>R4+'Drivers'' Standings'!T4</f>
        <v>169</v>
      </c>
      <c r="T4">
        <f>S4+'Drivers'' Standings'!U4</f>
        <v>169</v>
      </c>
      <c r="U4">
        <f>T4+'Drivers'' Standings'!V4</f>
        <v>169</v>
      </c>
      <c r="V4">
        <f>U4+'Drivers'' Standings'!W4</f>
        <v>169</v>
      </c>
      <c r="W4">
        <f>V4+'Drivers'' Standings'!X4</f>
        <v>169</v>
      </c>
      <c r="X4">
        <f>W4+'Drivers'' Standings'!Y4</f>
        <v>169</v>
      </c>
      <c r="Y4">
        <f>X4+'Drivers'' Standings'!Z4</f>
        <v>169</v>
      </c>
      <c r="AC4" s="2" t="s">
        <v>16</v>
      </c>
      <c r="AD4" s="41" t="s">
        <v>17</v>
      </c>
      <c r="AE4" s="2" t="s">
        <v>18</v>
      </c>
      <c r="AF4" s="2" t="s">
        <v>19</v>
      </c>
      <c r="AG4" s="2" t="s">
        <v>20</v>
      </c>
      <c r="AH4" s="41" t="s">
        <v>21</v>
      </c>
      <c r="AI4" s="41" t="s">
        <v>22</v>
      </c>
      <c r="AJ4" s="2" t="s">
        <v>23</v>
      </c>
      <c r="AK4" s="2" t="s">
        <v>24</v>
      </c>
      <c r="AL4" s="2" t="s">
        <v>25</v>
      </c>
      <c r="AM4" s="41" t="s">
        <v>26</v>
      </c>
      <c r="AN4" s="2" t="s">
        <v>27</v>
      </c>
      <c r="AO4" s="2" t="s">
        <v>28</v>
      </c>
      <c r="AP4" s="41" t="s">
        <v>29</v>
      </c>
      <c r="AQ4" s="2" t="s">
        <v>30</v>
      </c>
      <c r="AR4" s="2" t="s">
        <v>31</v>
      </c>
      <c r="AS4" s="2" t="s">
        <v>32</v>
      </c>
      <c r="AT4" s="41" t="s">
        <v>33</v>
      </c>
      <c r="AU4" s="2" t="s">
        <v>34</v>
      </c>
      <c r="AV4" s="2" t="s">
        <v>35</v>
      </c>
      <c r="AW4" s="2" t="s">
        <v>36</v>
      </c>
      <c r="AX4" s="2" t="s">
        <v>37</v>
      </c>
      <c r="AY4" s="2" t="s">
        <v>38</v>
      </c>
      <c r="AZ4" s="2" t="s">
        <v>39</v>
      </c>
      <c r="BB4" s="44" t="str">
        <f t="shared" si="0"/>
        <v>Lewis Hamilton</v>
      </c>
      <c r="BC4" s="44">
        <f t="shared" si="1"/>
        <v>169</v>
      </c>
      <c r="BD4" s="44">
        <f t="shared" si="2"/>
        <v>50</v>
      </c>
    </row>
    <row r="5" spans="1:56" ht="21.6" x14ac:dyDescent="0.4">
      <c r="A5" s="9" t="s">
        <v>76</v>
      </c>
      <c r="B5">
        <f>'Drivers'' Standings'!C5</f>
        <v>15</v>
      </c>
      <c r="C5">
        <f>B5+'Drivers'' Standings'!D5</f>
        <v>34</v>
      </c>
      <c r="D5">
        <f>C5+'Drivers'' Standings'!E5</f>
        <v>49</v>
      </c>
      <c r="E5">
        <f>D5+'Drivers'' Standings'!F5</f>
        <v>49</v>
      </c>
      <c r="F5">
        <f>E5+'Drivers'' Standings'!G5</f>
        <v>49</v>
      </c>
      <c r="G5">
        <f>F5+'Drivers'' Standings'!H5</f>
        <v>59</v>
      </c>
      <c r="H5">
        <f>G5+'Drivers'' Standings'!I5</f>
        <v>75</v>
      </c>
      <c r="I5">
        <f>H5+'Drivers'' Standings'!J5</f>
        <v>75</v>
      </c>
      <c r="J5">
        <f>I5+'Drivers'' Standings'!K5</f>
        <v>75</v>
      </c>
      <c r="K5">
        <f>J5+'Drivers'' Standings'!L5</f>
        <v>79</v>
      </c>
      <c r="L5">
        <f>K5+'Drivers'' Standings'!M5</f>
        <v>108</v>
      </c>
      <c r="M5">
        <f>L5+'Drivers'' Standings'!N5</f>
        <v>126</v>
      </c>
      <c r="N5">
        <f>M5+'Drivers'' Standings'!O5</f>
        <v>138</v>
      </c>
      <c r="O5">
        <f>N5+'Drivers'' Standings'!P5</f>
        <v>138</v>
      </c>
      <c r="P5">
        <f>O5+'Drivers'' Standings'!Q5</f>
        <v>138</v>
      </c>
      <c r="Q5">
        <f>P5+'Drivers'' Standings'!R5</f>
        <v>138</v>
      </c>
      <c r="R5">
        <f>Q5+'Drivers'' Standings'!S5</f>
        <v>138</v>
      </c>
      <c r="S5">
        <f>R5+'Drivers'' Standings'!T5</f>
        <v>138</v>
      </c>
      <c r="T5">
        <f>S5+'Drivers'' Standings'!U5</f>
        <v>138</v>
      </c>
      <c r="U5">
        <f>T5+'Drivers'' Standings'!V5</f>
        <v>138</v>
      </c>
      <c r="V5">
        <f>U5+'Drivers'' Standings'!W5</f>
        <v>138</v>
      </c>
      <c r="W5">
        <f>V5+'Drivers'' Standings'!X5</f>
        <v>138</v>
      </c>
      <c r="X5">
        <f>W5+'Drivers'' Standings'!Y5</f>
        <v>138</v>
      </c>
      <c r="Y5">
        <f>X5+'Drivers'' Standings'!Z5</f>
        <v>138</v>
      </c>
      <c r="AB5" t="str">
        <f>AB2</f>
        <v>George Russell</v>
      </c>
      <c r="AC5">
        <f>IF($AB5="","",INDEX($B$2:$Y$23,MATCH($AB5,$A$2:$A$23,0),MATCH(AC$4,$B$1:$Y$1,0)))</f>
        <v>25</v>
      </c>
      <c r="AD5">
        <f t="shared" ref="AD5:AZ9" si="3">IF($AB5="","",INDEX($B$2:$Y$23,MATCH($AB5,$A$2:$A$23,0),MATCH(AD$4,$B$1:$Y$1,0)))</f>
        <v>51</v>
      </c>
      <c r="AE5">
        <f t="shared" si="3"/>
        <v>63</v>
      </c>
      <c r="AF5">
        <f t="shared" si="3"/>
        <v>63</v>
      </c>
      <c r="AG5">
        <f t="shared" si="3"/>
        <v>63</v>
      </c>
      <c r="AH5">
        <f t="shared" si="3"/>
        <v>80</v>
      </c>
      <c r="AI5">
        <f t="shared" si="3"/>
        <v>88</v>
      </c>
      <c r="AJ5">
        <f t="shared" si="3"/>
        <v>88</v>
      </c>
      <c r="AK5">
        <f t="shared" si="3"/>
        <v>106</v>
      </c>
      <c r="AL5">
        <f t="shared" si="3"/>
        <v>131</v>
      </c>
      <c r="AM5">
        <f t="shared" si="3"/>
        <v>154</v>
      </c>
      <c r="AN5">
        <f t="shared" si="3"/>
        <v>154</v>
      </c>
      <c r="AO5">
        <f t="shared" si="3"/>
        <v>160</v>
      </c>
      <c r="AP5">
        <f t="shared" si="3"/>
        <v>160</v>
      </c>
      <c r="AQ5">
        <f t="shared" si="3"/>
        <v>160</v>
      </c>
      <c r="AR5">
        <f t="shared" si="3"/>
        <v>160</v>
      </c>
      <c r="AS5">
        <f t="shared" si="3"/>
        <v>160</v>
      </c>
      <c r="AT5">
        <f t="shared" si="3"/>
        <v>160</v>
      </c>
      <c r="AU5">
        <f t="shared" si="3"/>
        <v>160</v>
      </c>
      <c r="AV5">
        <f t="shared" si="3"/>
        <v>160</v>
      </c>
      <c r="AW5">
        <f t="shared" si="3"/>
        <v>160</v>
      </c>
      <c r="AX5">
        <f t="shared" si="3"/>
        <v>160</v>
      </c>
      <c r="AY5">
        <f t="shared" si="3"/>
        <v>160</v>
      </c>
      <c r="AZ5">
        <f t="shared" si="3"/>
        <v>160</v>
      </c>
      <c r="BB5" s="44" t="str">
        <f t="shared" si="0"/>
        <v>Charles Leclerc</v>
      </c>
      <c r="BC5" s="44">
        <f t="shared" si="1"/>
        <v>138</v>
      </c>
      <c r="BD5" s="44">
        <f t="shared" si="2"/>
        <v>81</v>
      </c>
    </row>
    <row r="6" spans="1:56" ht="21.6" x14ac:dyDescent="0.4">
      <c r="A6" s="8" t="s">
        <v>75</v>
      </c>
      <c r="B6">
        <f>'Drivers'' Standings'!C6</f>
        <v>10</v>
      </c>
      <c r="C6">
        <f>B6+'Drivers'' Standings'!D6</f>
        <v>15</v>
      </c>
      <c r="D6">
        <f>C6+'Drivers'' Standings'!E6</f>
        <v>25</v>
      </c>
      <c r="E6">
        <f>D6+'Drivers'' Standings'!F6</f>
        <v>25</v>
      </c>
      <c r="F6">
        <f>E6+'Drivers'' Standings'!G6</f>
        <v>25</v>
      </c>
      <c r="G6">
        <f>F6+'Drivers'' Standings'!H6</f>
        <v>51</v>
      </c>
      <c r="H6">
        <f>G6+'Drivers'' Standings'!I6</f>
        <v>58</v>
      </c>
      <c r="I6">
        <f>H6+'Drivers'' Standings'!J6</f>
        <v>58</v>
      </c>
      <c r="J6">
        <f>I6+'Drivers'' Standings'!K6</f>
        <v>73</v>
      </c>
      <c r="K6">
        <f>J6+'Drivers'' Standings'!L6</f>
        <v>79</v>
      </c>
      <c r="L6">
        <f>K6+'Drivers'' Standings'!M6</f>
        <v>97</v>
      </c>
      <c r="M6">
        <f>L6+'Drivers'' Standings'!N6</f>
        <v>103</v>
      </c>
      <c r="N6">
        <f>M6+'Drivers'' Standings'!O6</f>
        <v>128</v>
      </c>
      <c r="O6">
        <f>N6+'Drivers'' Standings'!P6</f>
        <v>128</v>
      </c>
      <c r="P6">
        <f>O6+'Drivers'' Standings'!Q6</f>
        <v>128</v>
      </c>
      <c r="Q6">
        <f>P6+'Drivers'' Standings'!R6</f>
        <v>128</v>
      </c>
      <c r="R6">
        <f>Q6+'Drivers'' Standings'!S6</f>
        <v>128</v>
      </c>
      <c r="S6">
        <f>R6+'Drivers'' Standings'!T6</f>
        <v>128</v>
      </c>
      <c r="T6">
        <f>S6+'Drivers'' Standings'!U6</f>
        <v>128</v>
      </c>
      <c r="U6">
        <f>T6+'Drivers'' Standings'!V6</f>
        <v>128</v>
      </c>
      <c r="V6">
        <f>U6+'Drivers'' Standings'!W6</f>
        <v>128</v>
      </c>
      <c r="W6">
        <f>V6+'Drivers'' Standings'!X6</f>
        <v>128</v>
      </c>
      <c r="X6">
        <f>W6+'Drivers'' Standings'!Y6</f>
        <v>128</v>
      </c>
      <c r="Y6">
        <f>X6+'Drivers'' Standings'!Z6</f>
        <v>128</v>
      </c>
      <c r="AB6" t="str">
        <f>AC2</f>
        <v>Lewis Hamilton</v>
      </c>
      <c r="AC6">
        <f t="shared" ref="AC6:AC9" si="4">IF($AB6="","",INDEX($B$2:$Y$23,MATCH($AB6,$A$2:$A$23,0),MATCH(AC$4,$B$1:$Y$1,0)))</f>
        <v>12</v>
      </c>
      <c r="AD6">
        <f t="shared" si="3"/>
        <v>33</v>
      </c>
      <c r="AE6">
        <f t="shared" si="3"/>
        <v>41</v>
      </c>
      <c r="AF6">
        <f t="shared" si="3"/>
        <v>41</v>
      </c>
      <c r="AG6">
        <f t="shared" si="3"/>
        <v>41</v>
      </c>
      <c r="AH6">
        <f t="shared" si="3"/>
        <v>51</v>
      </c>
      <c r="AI6">
        <f t="shared" si="3"/>
        <v>72</v>
      </c>
      <c r="AJ6">
        <f t="shared" si="3"/>
        <v>90</v>
      </c>
      <c r="AK6">
        <f t="shared" si="3"/>
        <v>115</v>
      </c>
      <c r="AL6">
        <f t="shared" si="3"/>
        <v>125</v>
      </c>
      <c r="AM6">
        <f t="shared" si="3"/>
        <v>147</v>
      </c>
      <c r="AN6">
        <f t="shared" si="3"/>
        <v>159</v>
      </c>
      <c r="AO6">
        <f t="shared" si="3"/>
        <v>169</v>
      </c>
      <c r="AP6">
        <f t="shared" si="3"/>
        <v>169</v>
      </c>
      <c r="AQ6">
        <f t="shared" si="3"/>
        <v>169</v>
      </c>
      <c r="AR6">
        <f t="shared" si="3"/>
        <v>169</v>
      </c>
      <c r="AS6">
        <f t="shared" si="3"/>
        <v>169</v>
      </c>
      <c r="AT6">
        <f t="shared" si="3"/>
        <v>169</v>
      </c>
      <c r="AU6">
        <f t="shared" si="3"/>
        <v>169</v>
      </c>
      <c r="AV6">
        <f t="shared" si="3"/>
        <v>169</v>
      </c>
      <c r="AW6">
        <f t="shared" si="3"/>
        <v>169</v>
      </c>
      <c r="AX6">
        <f t="shared" si="3"/>
        <v>169</v>
      </c>
      <c r="AY6">
        <f t="shared" si="3"/>
        <v>169</v>
      </c>
      <c r="AZ6">
        <f t="shared" si="3"/>
        <v>169</v>
      </c>
      <c r="BB6" s="44" t="str">
        <f t="shared" si="0"/>
        <v>Lando Norris</v>
      </c>
      <c r="BC6" s="44">
        <f t="shared" si="1"/>
        <v>128</v>
      </c>
      <c r="BD6" s="44">
        <f t="shared" si="2"/>
        <v>91</v>
      </c>
    </row>
    <row r="7" spans="1:56" ht="21.6" x14ac:dyDescent="0.4">
      <c r="A7" s="8" t="s">
        <v>77</v>
      </c>
      <c r="B7">
        <f>'Drivers'' Standings'!C7</f>
        <v>0</v>
      </c>
      <c r="C7">
        <f>B7+'Drivers'' Standings'!D7</f>
        <v>3</v>
      </c>
      <c r="D7">
        <f>C7+'Drivers'' Standings'!E7</f>
        <v>21</v>
      </c>
      <c r="E7">
        <f>D7+'Drivers'' Standings'!F7</f>
        <v>21</v>
      </c>
      <c r="F7">
        <f>E7+'Drivers'' Standings'!G7</f>
        <v>21</v>
      </c>
      <c r="G7">
        <f>F7+'Drivers'' Standings'!H7</f>
        <v>43</v>
      </c>
      <c r="H7">
        <f>G7+'Drivers'' Standings'!I7</f>
        <v>48</v>
      </c>
      <c r="I7">
        <f>H7+'Drivers'' Standings'!J7</f>
        <v>58</v>
      </c>
      <c r="J7">
        <f>I7+'Drivers'' Standings'!K7</f>
        <v>68</v>
      </c>
      <c r="K7">
        <f>J7+'Drivers'' Standings'!L7</f>
        <v>80</v>
      </c>
      <c r="L7">
        <f>K7+'Drivers'' Standings'!M7</f>
        <v>82</v>
      </c>
      <c r="M7">
        <f>L7+'Drivers'' Standings'!N7</f>
        <v>92</v>
      </c>
      <c r="N7">
        <f>M7+'Drivers'' Standings'!O7</f>
        <v>92</v>
      </c>
      <c r="O7">
        <f>N7+'Drivers'' Standings'!P7</f>
        <v>92</v>
      </c>
      <c r="P7">
        <f>O7+'Drivers'' Standings'!Q7</f>
        <v>92</v>
      </c>
      <c r="Q7">
        <f>P7+'Drivers'' Standings'!R7</f>
        <v>92</v>
      </c>
      <c r="R7">
        <f>Q7+'Drivers'' Standings'!S7</f>
        <v>92</v>
      </c>
      <c r="S7">
        <f>R7+'Drivers'' Standings'!T7</f>
        <v>92</v>
      </c>
      <c r="T7">
        <f>S7+'Drivers'' Standings'!U7</f>
        <v>92</v>
      </c>
      <c r="U7">
        <f>T7+'Drivers'' Standings'!V7</f>
        <v>92</v>
      </c>
      <c r="V7">
        <f>U7+'Drivers'' Standings'!W7</f>
        <v>92</v>
      </c>
      <c r="W7">
        <f>V7+'Drivers'' Standings'!X7</f>
        <v>92</v>
      </c>
      <c r="X7">
        <f>W7+'Drivers'' Standings'!Y7</f>
        <v>92</v>
      </c>
      <c r="Y7">
        <f>X7+'Drivers'' Standings'!Z7</f>
        <v>92</v>
      </c>
      <c r="AB7" t="str">
        <f>AD2</f>
        <v>Charles Leclerc</v>
      </c>
      <c r="AC7">
        <f t="shared" si="4"/>
        <v>15</v>
      </c>
      <c r="AD7">
        <f t="shared" si="3"/>
        <v>34</v>
      </c>
      <c r="AE7">
        <f t="shared" si="3"/>
        <v>49</v>
      </c>
      <c r="AF7">
        <f t="shared" si="3"/>
        <v>49</v>
      </c>
      <c r="AG7">
        <f t="shared" si="3"/>
        <v>49</v>
      </c>
      <c r="AH7">
        <f t="shared" si="3"/>
        <v>59</v>
      </c>
      <c r="AI7">
        <f t="shared" si="3"/>
        <v>75</v>
      </c>
      <c r="AJ7">
        <f t="shared" si="3"/>
        <v>75</v>
      </c>
      <c r="AK7">
        <f t="shared" si="3"/>
        <v>75</v>
      </c>
      <c r="AL7">
        <f t="shared" si="3"/>
        <v>79</v>
      </c>
      <c r="AM7">
        <f t="shared" si="3"/>
        <v>108</v>
      </c>
      <c r="AN7">
        <f t="shared" si="3"/>
        <v>126</v>
      </c>
      <c r="AO7">
        <f t="shared" si="3"/>
        <v>138</v>
      </c>
      <c r="AP7">
        <f t="shared" si="3"/>
        <v>138</v>
      </c>
      <c r="AQ7">
        <f t="shared" si="3"/>
        <v>138</v>
      </c>
      <c r="AR7">
        <f t="shared" si="3"/>
        <v>138</v>
      </c>
      <c r="AS7">
        <f t="shared" si="3"/>
        <v>138</v>
      </c>
      <c r="AT7">
        <f t="shared" si="3"/>
        <v>138</v>
      </c>
      <c r="AU7">
        <f t="shared" si="3"/>
        <v>138</v>
      </c>
      <c r="AV7">
        <f t="shared" si="3"/>
        <v>138</v>
      </c>
      <c r="AW7">
        <f t="shared" si="3"/>
        <v>138</v>
      </c>
      <c r="AX7">
        <f t="shared" si="3"/>
        <v>138</v>
      </c>
      <c r="AY7">
        <f t="shared" si="3"/>
        <v>138</v>
      </c>
      <c r="AZ7">
        <f t="shared" si="3"/>
        <v>138</v>
      </c>
      <c r="BB7" s="44" t="str">
        <f t="shared" si="0"/>
        <v>Oscar Piastri</v>
      </c>
      <c r="BC7" s="44">
        <f t="shared" si="1"/>
        <v>92</v>
      </c>
      <c r="BD7" s="44">
        <f t="shared" si="2"/>
        <v>127</v>
      </c>
    </row>
    <row r="8" spans="1:56" ht="21.6" x14ac:dyDescent="0.4">
      <c r="A8" s="11" t="s">
        <v>78</v>
      </c>
      <c r="B8">
        <f>'Drivers'' Standings'!C8</f>
        <v>8</v>
      </c>
      <c r="C8">
        <f>B8+'Drivers'' Standings'!D8</f>
        <v>8</v>
      </c>
      <c r="D8">
        <f>C8+'Drivers'' Standings'!E8</f>
        <v>12</v>
      </c>
      <c r="E8">
        <f>D8+'Drivers'' Standings'!F8</f>
        <v>12</v>
      </c>
      <c r="F8">
        <f>E8+'Drivers'' Standings'!G8</f>
        <v>12</v>
      </c>
      <c r="G8">
        <f>F8+'Drivers'' Standings'!H8</f>
        <v>26</v>
      </c>
      <c r="H8">
        <f>G8+'Drivers'' Standings'!I8</f>
        <v>43</v>
      </c>
      <c r="I8">
        <f>H8+'Drivers'' Standings'!J8</f>
        <v>43</v>
      </c>
      <c r="J8">
        <f>I8+'Drivers'' Standings'!K8</f>
        <v>55</v>
      </c>
      <c r="K8">
        <f>J8+'Drivers'' Standings'!L8</f>
        <v>73</v>
      </c>
      <c r="L8">
        <f>K8+'Drivers'' Standings'!M8</f>
        <v>76</v>
      </c>
      <c r="M8">
        <f>L8+'Drivers'' Standings'!N8</f>
        <v>91</v>
      </c>
      <c r="N8">
        <f>M8+'Drivers'' Standings'!O8</f>
        <v>109</v>
      </c>
      <c r="O8">
        <f>N8+'Drivers'' Standings'!P8</f>
        <v>109</v>
      </c>
      <c r="P8">
        <f>O8+'Drivers'' Standings'!Q8</f>
        <v>109</v>
      </c>
      <c r="Q8">
        <f>P8+'Drivers'' Standings'!R8</f>
        <v>109</v>
      </c>
      <c r="R8">
        <f>Q8+'Drivers'' Standings'!S8</f>
        <v>109</v>
      </c>
      <c r="S8">
        <f>R8+'Drivers'' Standings'!T8</f>
        <v>109</v>
      </c>
      <c r="T8">
        <f>S8+'Drivers'' Standings'!U8</f>
        <v>109</v>
      </c>
      <c r="U8">
        <f>T8+'Drivers'' Standings'!V8</f>
        <v>109</v>
      </c>
      <c r="V8">
        <f>U8+'Drivers'' Standings'!W8</f>
        <v>109</v>
      </c>
      <c r="W8">
        <f>V8+'Drivers'' Standings'!X8</f>
        <v>109</v>
      </c>
      <c r="X8">
        <f>W8+'Drivers'' Standings'!Y8</f>
        <v>109</v>
      </c>
      <c r="Y8">
        <f>X8+'Drivers'' Standings'!Z8</f>
        <v>109</v>
      </c>
      <c r="AB8" t="str">
        <f>AE2</f>
        <v>Lando Norris</v>
      </c>
      <c r="AC8">
        <f t="shared" si="4"/>
        <v>10</v>
      </c>
      <c r="AD8">
        <f t="shared" si="3"/>
        <v>15</v>
      </c>
      <c r="AE8">
        <f t="shared" si="3"/>
        <v>25</v>
      </c>
      <c r="AF8">
        <f t="shared" si="3"/>
        <v>25</v>
      </c>
      <c r="AG8">
        <f t="shared" si="3"/>
        <v>25</v>
      </c>
      <c r="AH8">
        <f t="shared" si="3"/>
        <v>51</v>
      </c>
      <c r="AI8">
        <f t="shared" si="3"/>
        <v>58</v>
      </c>
      <c r="AJ8">
        <f t="shared" si="3"/>
        <v>58</v>
      </c>
      <c r="AK8">
        <f t="shared" si="3"/>
        <v>73</v>
      </c>
      <c r="AL8">
        <f t="shared" si="3"/>
        <v>79</v>
      </c>
      <c r="AM8">
        <f t="shared" si="3"/>
        <v>97</v>
      </c>
      <c r="AN8">
        <f t="shared" si="3"/>
        <v>103</v>
      </c>
      <c r="AO8">
        <f t="shared" si="3"/>
        <v>128</v>
      </c>
      <c r="AP8">
        <f t="shared" si="3"/>
        <v>128</v>
      </c>
      <c r="AQ8">
        <f t="shared" si="3"/>
        <v>128</v>
      </c>
      <c r="AR8">
        <f t="shared" si="3"/>
        <v>128</v>
      </c>
      <c r="AS8">
        <f t="shared" si="3"/>
        <v>128</v>
      </c>
      <c r="AT8">
        <f t="shared" si="3"/>
        <v>128</v>
      </c>
      <c r="AU8">
        <f t="shared" si="3"/>
        <v>128</v>
      </c>
      <c r="AV8">
        <f t="shared" si="3"/>
        <v>128</v>
      </c>
      <c r="AW8">
        <f t="shared" si="3"/>
        <v>128</v>
      </c>
      <c r="AX8">
        <f t="shared" si="3"/>
        <v>128</v>
      </c>
      <c r="AY8">
        <f t="shared" si="3"/>
        <v>128</v>
      </c>
      <c r="AZ8">
        <f t="shared" si="3"/>
        <v>128</v>
      </c>
      <c r="BB8" s="44" t="str">
        <f t="shared" si="0"/>
        <v>Max Verstappen</v>
      </c>
      <c r="BC8" s="44">
        <f t="shared" si="1"/>
        <v>109</v>
      </c>
      <c r="BD8" s="44">
        <f t="shared" si="2"/>
        <v>110</v>
      </c>
    </row>
    <row r="9" spans="1:56" ht="21.6" x14ac:dyDescent="0.4">
      <c r="A9" s="11" t="s">
        <v>79</v>
      </c>
      <c r="B9">
        <f>'Drivers'' Standings'!C9</f>
        <v>0</v>
      </c>
      <c r="C9">
        <f>B9+'Drivers'' Standings'!D9</f>
        <v>4</v>
      </c>
      <c r="D9">
        <f>C9+'Drivers'' Standings'!E9</f>
        <v>4</v>
      </c>
      <c r="E9">
        <f>D9+'Drivers'' Standings'!F9</f>
        <v>4</v>
      </c>
      <c r="F9">
        <f>E9+'Drivers'' Standings'!G9</f>
        <v>4</v>
      </c>
      <c r="G9">
        <f>F9+'Drivers'' Standings'!H9</f>
        <v>4</v>
      </c>
      <c r="H9">
        <f>G9+'Drivers'' Standings'!I9</f>
        <v>14</v>
      </c>
      <c r="I9">
        <f>H9+'Drivers'' Standings'!J9</f>
        <v>26</v>
      </c>
      <c r="J9">
        <f>I9+'Drivers'' Standings'!K9</f>
        <v>34</v>
      </c>
      <c r="K9">
        <f>J9+'Drivers'' Standings'!L9</f>
        <v>42</v>
      </c>
      <c r="L9">
        <f>K9+'Drivers'' Standings'!M9</f>
        <v>52</v>
      </c>
      <c r="M9">
        <f>L9+'Drivers'' Standings'!N9</f>
        <v>60</v>
      </c>
      <c r="N9">
        <f>M9+'Drivers'' Standings'!O9</f>
        <v>68</v>
      </c>
      <c r="O9">
        <f>N9+'Drivers'' Standings'!P9</f>
        <v>68</v>
      </c>
      <c r="P9">
        <f>O9+'Drivers'' Standings'!Q9</f>
        <v>68</v>
      </c>
      <c r="Q9">
        <f>P9+'Drivers'' Standings'!R9</f>
        <v>68</v>
      </c>
      <c r="R9">
        <f>Q9+'Drivers'' Standings'!S9</f>
        <v>68</v>
      </c>
      <c r="S9">
        <f>R9+'Drivers'' Standings'!T9</f>
        <v>68</v>
      </c>
      <c r="T9">
        <f>S9+'Drivers'' Standings'!U9</f>
        <v>68</v>
      </c>
      <c r="U9">
        <f>T9+'Drivers'' Standings'!V9</f>
        <v>68</v>
      </c>
      <c r="V9">
        <f>U9+'Drivers'' Standings'!W9</f>
        <v>68</v>
      </c>
      <c r="W9">
        <f>V9+'Drivers'' Standings'!X9</f>
        <v>68</v>
      </c>
      <c r="X9">
        <f>W9+'Drivers'' Standings'!Y9</f>
        <v>68</v>
      </c>
      <c r="Y9">
        <f>X9+'Drivers'' Standings'!Z9</f>
        <v>68</v>
      </c>
      <c r="AB9" t="str">
        <f>AF2</f>
        <v>Kimi Antonelli</v>
      </c>
      <c r="AC9">
        <f t="shared" si="4"/>
        <v>18</v>
      </c>
      <c r="AD9">
        <f t="shared" si="3"/>
        <v>47</v>
      </c>
      <c r="AE9">
        <f t="shared" si="3"/>
        <v>72</v>
      </c>
      <c r="AF9">
        <f t="shared" si="3"/>
        <v>72</v>
      </c>
      <c r="AG9">
        <f t="shared" si="3"/>
        <v>72</v>
      </c>
      <c r="AH9">
        <f t="shared" si="3"/>
        <v>100</v>
      </c>
      <c r="AI9">
        <f t="shared" si="3"/>
        <v>131</v>
      </c>
      <c r="AJ9">
        <f t="shared" si="3"/>
        <v>156</v>
      </c>
      <c r="AK9">
        <f t="shared" si="3"/>
        <v>156</v>
      </c>
      <c r="AL9">
        <f t="shared" si="3"/>
        <v>171</v>
      </c>
      <c r="AM9">
        <f t="shared" si="3"/>
        <v>179</v>
      </c>
      <c r="AN9">
        <f t="shared" si="3"/>
        <v>204</v>
      </c>
      <c r="AO9">
        <f t="shared" si="3"/>
        <v>219</v>
      </c>
      <c r="AP9">
        <f t="shared" si="3"/>
        <v>219</v>
      </c>
      <c r="AQ9">
        <f t="shared" si="3"/>
        <v>219</v>
      </c>
      <c r="AR9">
        <f t="shared" si="3"/>
        <v>219</v>
      </c>
      <c r="AS9">
        <f t="shared" si="3"/>
        <v>219</v>
      </c>
      <c r="AT9">
        <f t="shared" si="3"/>
        <v>219</v>
      </c>
      <c r="AU9">
        <f t="shared" si="3"/>
        <v>219</v>
      </c>
      <c r="AV9">
        <f t="shared" si="3"/>
        <v>219</v>
      </c>
      <c r="AW9">
        <f t="shared" si="3"/>
        <v>219</v>
      </c>
      <c r="AX9">
        <f t="shared" si="3"/>
        <v>219</v>
      </c>
      <c r="AY9">
        <f t="shared" si="3"/>
        <v>219</v>
      </c>
      <c r="AZ9">
        <f t="shared" si="3"/>
        <v>219</v>
      </c>
      <c r="BB9" s="44" t="str">
        <f t="shared" si="0"/>
        <v>Isack Hadjar</v>
      </c>
      <c r="BC9" s="44">
        <f t="shared" si="1"/>
        <v>68</v>
      </c>
      <c r="BD9" s="44">
        <f t="shared" si="2"/>
        <v>151</v>
      </c>
    </row>
    <row r="10" spans="1:56" ht="21.6" x14ac:dyDescent="0.4">
      <c r="A10" s="13" t="s">
        <v>80</v>
      </c>
      <c r="B10">
        <f>'Drivers'' Standings'!C10</f>
        <v>1</v>
      </c>
      <c r="C10">
        <f>B10+'Drivers'' Standings'!D10</f>
        <v>9</v>
      </c>
      <c r="D10">
        <f>C10+'Drivers'' Standings'!E10</f>
        <v>15</v>
      </c>
      <c r="E10">
        <f>D10+'Drivers'' Standings'!F10</f>
        <v>15</v>
      </c>
      <c r="F10">
        <f>E10+'Drivers'' Standings'!G10</f>
        <v>15</v>
      </c>
      <c r="G10">
        <f>F10+'Drivers'' Standings'!H10</f>
        <v>16</v>
      </c>
      <c r="H10">
        <f>G10+'Drivers'' Standings'!I10</f>
        <v>20</v>
      </c>
      <c r="I10">
        <f>H10+'Drivers'' Standings'!J10</f>
        <v>35</v>
      </c>
      <c r="J10">
        <f>I10+'Drivers'' Standings'!K10</f>
        <v>41</v>
      </c>
      <c r="K10">
        <f>J10+'Drivers'' Standings'!L10</f>
        <v>41</v>
      </c>
      <c r="L10">
        <f>K10+'Drivers'' Standings'!M10</f>
        <v>42</v>
      </c>
      <c r="M10">
        <f>L10+'Drivers'' Standings'!N10</f>
        <v>42</v>
      </c>
      <c r="N10">
        <f>M10+'Drivers'' Standings'!O10</f>
        <v>42</v>
      </c>
      <c r="O10">
        <f>N10+'Drivers'' Standings'!P10</f>
        <v>42</v>
      </c>
      <c r="P10">
        <f>O10+'Drivers'' Standings'!Q10</f>
        <v>42</v>
      </c>
      <c r="Q10">
        <f>P10+'Drivers'' Standings'!R10</f>
        <v>42</v>
      </c>
      <c r="R10">
        <f>Q10+'Drivers'' Standings'!S10</f>
        <v>42</v>
      </c>
      <c r="S10">
        <f>R10+'Drivers'' Standings'!T10</f>
        <v>42</v>
      </c>
      <c r="T10">
        <f>S10+'Drivers'' Standings'!U10</f>
        <v>42</v>
      </c>
      <c r="U10">
        <f>T10+'Drivers'' Standings'!V10</f>
        <v>42</v>
      </c>
      <c r="V10">
        <f>U10+'Drivers'' Standings'!W10</f>
        <v>42</v>
      </c>
      <c r="W10">
        <f>V10+'Drivers'' Standings'!X10</f>
        <v>42</v>
      </c>
      <c r="X10">
        <f>W10+'Drivers'' Standings'!Y10</f>
        <v>42</v>
      </c>
      <c r="Y10">
        <f>X10+'Drivers'' Standings'!Z10</f>
        <v>42</v>
      </c>
      <c r="BB10" s="44" t="str">
        <f t="shared" si="0"/>
        <v>Pierre Gasly</v>
      </c>
      <c r="BC10" s="44">
        <f t="shared" si="1"/>
        <v>42</v>
      </c>
      <c r="BD10" s="44">
        <f t="shared" si="2"/>
        <v>177</v>
      </c>
    </row>
    <row r="11" spans="1:56" ht="21.6" x14ac:dyDescent="0.4">
      <c r="A11" s="13" t="s">
        <v>81</v>
      </c>
      <c r="B11">
        <f>'Drivers'' Standings'!C11</f>
        <v>0</v>
      </c>
      <c r="C11">
        <f>B11+'Drivers'' Standings'!D11</f>
        <v>1</v>
      </c>
      <c r="D11">
        <f>C11+'Drivers'' Standings'!E11</f>
        <v>1</v>
      </c>
      <c r="E11">
        <f>D11+'Drivers'' Standings'!F11</f>
        <v>1</v>
      </c>
      <c r="F11">
        <f>E11+'Drivers'' Standings'!G11</f>
        <v>1</v>
      </c>
      <c r="G11">
        <f>F11+'Drivers'' Standings'!H11</f>
        <v>7</v>
      </c>
      <c r="H11">
        <f>G11+'Drivers'' Standings'!I11</f>
        <v>15</v>
      </c>
      <c r="I11">
        <f>H11+'Drivers'' Standings'!J11</f>
        <v>15</v>
      </c>
      <c r="J11">
        <f>I11+'Drivers'' Standings'!K11</f>
        <v>16</v>
      </c>
      <c r="K11">
        <f>J11+'Drivers'' Standings'!L11</f>
        <v>16</v>
      </c>
      <c r="L11">
        <f>K11+'Drivers'' Standings'!M11</f>
        <v>18</v>
      </c>
      <c r="M11">
        <f>L11+'Drivers'' Standings'!N11</f>
        <v>19</v>
      </c>
      <c r="N11">
        <f>M11+'Drivers'' Standings'!O11</f>
        <v>19</v>
      </c>
      <c r="O11">
        <f>N11+'Drivers'' Standings'!P11</f>
        <v>19</v>
      </c>
      <c r="P11">
        <f>O11+'Drivers'' Standings'!Q11</f>
        <v>19</v>
      </c>
      <c r="Q11">
        <f>P11+'Drivers'' Standings'!R11</f>
        <v>19</v>
      </c>
      <c r="R11">
        <f>Q11+'Drivers'' Standings'!S11</f>
        <v>19</v>
      </c>
      <c r="S11">
        <f>R11+'Drivers'' Standings'!T11</f>
        <v>19</v>
      </c>
      <c r="T11">
        <f>S11+'Drivers'' Standings'!U11</f>
        <v>19</v>
      </c>
      <c r="U11">
        <f>T11+'Drivers'' Standings'!V11</f>
        <v>19</v>
      </c>
      <c r="V11">
        <f>U11+'Drivers'' Standings'!W11</f>
        <v>19</v>
      </c>
      <c r="W11">
        <f>V11+'Drivers'' Standings'!X11</f>
        <v>19</v>
      </c>
      <c r="X11">
        <f>W11+'Drivers'' Standings'!Y11</f>
        <v>19</v>
      </c>
      <c r="Y11">
        <f>X11+'Drivers'' Standings'!Z11</f>
        <v>19</v>
      </c>
      <c r="BB11" s="44" t="str">
        <f t="shared" si="0"/>
        <v>Franco Colapinto</v>
      </c>
      <c r="BC11" s="44">
        <f t="shared" si="1"/>
        <v>19</v>
      </c>
      <c r="BD11" s="44">
        <f t="shared" si="2"/>
        <v>200</v>
      </c>
    </row>
    <row r="12" spans="1:56" ht="21.6" x14ac:dyDescent="0.4">
      <c r="A12" s="14" t="s">
        <v>82</v>
      </c>
      <c r="B12">
        <f>'Drivers'' Standings'!C12</f>
        <v>4</v>
      </c>
      <c r="C12">
        <f>B12+'Drivers'' Standings'!D12</f>
        <v>4</v>
      </c>
      <c r="D12">
        <f>C12+'Drivers'' Standings'!E12</f>
        <v>4</v>
      </c>
      <c r="E12">
        <f>D12+'Drivers'' Standings'!F12</f>
        <v>4</v>
      </c>
      <c r="F12">
        <f>E12+'Drivers'' Standings'!G12</f>
        <v>4</v>
      </c>
      <c r="G12">
        <f>F12+'Drivers'' Standings'!H12</f>
        <v>4</v>
      </c>
      <c r="H12">
        <f>G12+'Drivers'' Standings'!I12</f>
        <v>5</v>
      </c>
      <c r="I12">
        <f>H12+'Drivers'' Standings'!J12</f>
        <v>11</v>
      </c>
      <c r="J12">
        <f>I12+'Drivers'' Standings'!K12</f>
        <v>13</v>
      </c>
      <c r="K12">
        <f>J12+'Drivers'' Standings'!L12</f>
        <v>14</v>
      </c>
      <c r="L12">
        <f>K12+'Drivers'' Standings'!M12</f>
        <v>20</v>
      </c>
      <c r="M12">
        <f>L12+'Drivers'' Standings'!N12</f>
        <v>22</v>
      </c>
      <c r="N12">
        <f>M12+'Drivers'' Standings'!O12</f>
        <v>23</v>
      </c>
      <c r="O12">
        <f>N12+'Drivers'' Standings'!P12</f>
        <v>23</v>
      </c>
      <c r="P12">
        <f>O12+'Drivers'' Standings'!Q12</f>
        <v>23</v>
      </c>
      <c r="Q12">
        <f>P12+'Drivers'' Standings'!R12</f>
        <v>23</v>
      </c>
      <c r="R12">
        <f>Q12+'Drivers'' Standings'!S12</f>
        <v>23</v>
      </c>
      <c r="S12">
        <f>R12+'Drivers'' Standings'!T12</f>
        <v>23</v>
      </c>
      <c r="T12">
        <f>S12+'Drivers'' Standings'!U12</f>
        <v>23</v>
      </c>
      <c r="U12">
        <f>T12+'Drivers'' Standings'!V12</f>
        <v>23</v>
      </c>
      <c r="V12">
        <f>U12+'Drivers'' Standings'!W12</f>
        <v>23</v>
      </c>
      <c r="W12">
        <f>V12+'Drivers'' Standings'!X12</f>
        <v>23</v>
      </c>
      <c r="X12">
        <f>W12+'Drivers'' Standings'!Y12</f>
        <v>23</v>
      </c>
      <c r="Y12">
        <f>X12+'Drivers'' Standings'!Z12</f>
        <v>23</v>
      </c>
      <c r="BB12" s="44" t="str">
        <f t="shared" si="0"/>
        <v>Arvid Lindblad</v>
      </c>
      <c r="BC12" s="44">
        <f t="shared" si="1"/>
        <v>23</v>
      </c>
      <c r="BD12" s="44">
        <f t="shared" si="2"/>
        <v>196</v>
      </c>
    </row>
    <row r="13" spans="1:56" ht="21.6" x14ac:dyDescent="0.4">
      <c r="A13" s="14" t="s">
        <v>83</v>
      </c>
      <c r="B13">
        <f>'Drivers'' Standings'!C13</f>
        <v>0</v>
      </c>
      <c r="C13">
        <f>B13+'Drivers'' Standings'!D13</f>
        <v>8</v>
      </c>
      <c r="D13">
        <f>C13+'Drivers'' Standings'!E13</f>
        <v>10</v>
      </c>
      <c r="E13">
        <f>D13+'Drivers'' Standings'!F13</f>
        <v>10</v>
      </c>
      <c r="F13">
        <f>E13+'Drivers'' Standings'!G13</f>
        <v>10</v>
      </c>
      <c r="G13">
        <f>F13+'Drivers'' Standings'!H13</f>
        <v>10</v>
      </c>
      <c r="H13">
        <f>G13+'Drivers'' Standings'!I13</f>
        <v>16</v>
      </c>
      <c r="I13">
        <f>H13+'Drivers'' Standings'!J13</f>
        <v>24</v>
      </c>
      <c r="J13">
        <f>I13+'Drivers'' Standings'!K13</f>
        <v>28</v>
      </c>
      <c r="K13">
        <f>J13+'Drivers'' Standings'!L13</f>
        <v>30</v>
      </c>
      <c r="L13">
        <f>K13+'Drivers'' Standings'!M13</f>
        <v>39</v>
      </c>
      <c r="M13">
        <f>L13+'Drivers'' Standings'!N13</f>
        <v>39</v>
      </c>
      <c r="N13">
        <f>M13+'Drivers'' Standings'!O13</f>
        <v>43</v>
      </c>
      <c r="O13">
        <f>N13+'Drivers'' Standings'!P13</f>
        <v>43</v>
      </c>
      <c r="P13">
        <f>O13+'Drivers'' Standings'!Q13</f>
        <v>43</v>
      </c>
      <c r="Q13">
        <f>P13+'Drivers'' Standings'!R13</f>
        <v>43</v>
      </c>
      <c r="R13">
        <f>Q13+'Drivers'' Standings'!S13</f>
        <v>43</v>
      </c>
      <c r="S13">
        <f>R13+'Drivers'' Standings'!T13</f>
        <v>43</v>
      </c>
      <c r="T13">
        <f>S13+'Drivers'' Standings'!U13</f>
        <v>43</v>
      </c>
      <c r="U13">
        <f>T13+'Drivers'' Standings'!V13</f>
        <v>43</v>
      </c>
      <c r="V13">
        <f>U13+'Drivers'' Standings'!W13</f>
        <v>43</v>
      </c>
      <c r="W13">
        <f>V13+'Drivers'' Standings'!X13</f>
        <v>43</v>
      </c>
      <c r="X13">
        <f>W13+'Drivers'' Standings'!Y13</f>
        <v>43</v>
      </c>
      <c r="Y13">
        <f>X13+'Drivers'' Standings'!Z13</f>
        <v>43</v>
      </c>
      <c r="BB13" s="44" t="str">
        <f t="shared" si="0"/>
        <v>Liam Lawson</v>
      </c>
      <c r="BC13" s="44">
        <f t="shared" si="1"/>
        <v>43</v>
      </c>
      <c r="BD13" s="44">
        <f t="shared" si="2"/>
        <v>176</v>
      </c>
    </row>
    <row r="14" spans="1:56" ht="21.6" x14ac:dyDescent="0.4">
      <c r="A14" s="17" t="s">
        <v>84</v>
      </c>
      <c r="B14">
        <f>'Drivers'' Standings'!C14</f>
        <v>6</v>
      </c>
      <c r="C14">
        <f>B14+'Drivers'' Standings'!D14</f>
        <v>17</v>
      </c>
      <c r="D14">
        <f>C14+'Drivers'' Standings'!E14</f>
        <v>17</v>
      </c>
      <c r="E14">
        <f>D14+'Drivers'' Standings'!F14</f>
        <v>17</v>
      </c>
      <c r="F14">
        <f>E14+'Drivers'' Standings'!G14</f>
        <v>17</v>
      </c>
      <c r="G14">
        <f>F14+'Drivers'' Standings'!H14</f>
        <v>17</v>
      </c>
      <c r="H14">
        <f>G14+'Drivers'' Standings'!I14</f>
        <v>18</v>
      </c>
      <c r="I14">
        <f>H14+'Drivers'' Standings'!J14</f>
        <v>18</v>
      </c>
      <c r="J14">
        <f>I14+'Drivers'' Standings'!K14</f>
        <v>18</v>
      </c>
      <c r="K14">
        <f>J14+'Drivers'' Standings'!L14</f>
        <v>18</v>
      </c>
      <c r="L14">
        <f>K14+'Drivers'' Standings'!M14</f>
        <v>18</v>
      </c>
      <c r="M14">
        <f>L14+'Drivers'' Standings'!N14</f>
        <v>18</v>
      </c>
      <c r="N14">
        <f>M14+'Drivers'' Standings'!O14</f>
        <v>18</v>
      </c>
      <c r="O14">
        <f>N14+'Drivers'' Standings'!P14</f>
        <v>18</v>
      </c>
      <c r="P14">
        <f>O14+'Drivers'' Standings'!Q14</f>
        <v>18</v>
      </c>
      <c r="Q14">
        <f>P14+'Drivers'' Standings'!R14</f>
        <v>18</v>
      </c>
      <c r="R14">
        <f>Q14+'Drivers'' Standings'!S14</f>
        <v>18</v>
      </c>
      <c r="S14">
        <f>R14+'Drivers'' Standings'!T14</f>
        <v>18</v>
      </c>
      <c r="T14">
        <f>S14+'Drivers'' Standings'!U14</f>
        <v>18</v>
      </c>
      <c r="U14">
        <f>T14+'Drivers'' Standings'!V14</f>
        <v>18</v>
      </c>
      <c r="V14">
        <f>U14+'Drivers'' Standings'!W14</f>
        <v>18</v>
      </c>
      <c r="W14">
        <f>V14+'Drivers'' Standings'!X14</f>
        <v>18</v>
      </c>
      <c r="X14">
        <f>W14+'Drivers'' Standings'!Y14</f>
        <v>18</v>
      </c>
      <c r="Y14">
        <f>X14+'Drivers'' Standings'!Z14</f>
        <v>18</v>
      </c>
      <c r="BB14" s="44" t="str">
        <f t="shared" si="0"/>
        <v>Oliver Bearman</v>
      </c>
      <c r="BC14" s="44">
        <f t="shared" si="1"/>
        <v>18</v>
      </c>
      <c r="BD14" s="44">
        <f t="shared" si="2"/>
        <v>201</v>
      </c>
    </row>
    <row r="15" spans="1:56" ht="21.6" x14ac:dyDescent="0.4">
      <c r="A15" s="17" t="s">
        <v>85</v>
      </c>
      <c r="B15">
        <f>'Drivers'' Standings'!C15</f>
        <v>0</v>
      </c>
      <c r="C15">
        <f>B15+'Drivers'' Standings'!D15</f>
        <v>0</v>
      </c>
      <c r="D15">
        <f>C15+'Drivers'' Standings'!E15</f>
        <v>1</v>
      </c>
      <c r="E15">
        <f>D15+'Drivers'' Standings'!F15</f>
        <v>1</v>
      </c>
      <c r="F15">
        <f>E15+'Drivers'' Standings'!G15</f>
        <v>1</v>
      </c>
      <c r="G15">
        <f>F15+'Drivers'' Standings'!H15</f>
        <v>1</v>
      </c>
      <c r="H15">
        <f>G15+'Drivers'' Standings'!I15</f>
        <v>1</v>
      </c>
      <c r="I15">
        <f>H15+'Drivers'' Standings'!J15</f>
        <v>3</v>
      </c>
      <c r="J15">
        <f>I15+'Drivers'' Standings'!K15</f>
        <v>3</v>
      </c>
      <c r="K15">
        <f>J15+'Drivers'' Standings'!L15</f>
        <v>3</v>
      </c>
      <c r="L15">
        <f>K15+'Drivers'' Standings'!M15</f>
        <v>3</v>
      </c>
      <c r="M15">
        <f>L15+'Drivers'' Standings'!N15</f>
        <v>3</v>
      </c>
      <c r="N15">
        <f>M15+'Drivers'' Standings'!O15</f>
        <v>3</v>
      </c>
      <c r="O15">
        <f>N15+'Drivers'' Standings'!P15</f>
        <v>3</v>
      </c>
      <c r="P15">
        <f>O15+'Drivers'' Standings'!Q15</f>
        <v>3</v>
      </c>
      <c r="Q15">
        <f>P15+'Drivers'' Standings'!R15</f>
        <v>3</v>
      </c>
      <c r="R15">
        <f>Q15+'Drivers'' Standings'!S15</f>
        <v>3</v>
      </c>
      <c r="S15">
        <f>R15+'Drivers'' Standings'!T15</f>
        <v>3</v>
      </c>
      <c r="T15">
        <f>S15+'Drivers'' Standings'!U15</f>
        <v>3</v>
      </c>
      <c r="U15">
        <f>T15+'Drivers'' Standings'!V15</f>
        <v>3</v>
      </c>
      <c r="V15">
        <f>U15+'Drivers'' Standings'!W15</f>
        <v>3</v>
      </c>
      <c r="W15">
        <f>V15+'Drivers'' Standings'!X15</f>
        <v>3</v>
      </c>
      <c r="X15">
        <f>W15+'Drivers'' Standings'!Y15</f>
        <v>3</v>
      </c>
      <c r="Y15">
        <f>X15+'Drivers'' Standings'!Z15</f>
        <v>3</v>
      </c>
      <c r="BB15" s="44" t="str">
        <f t="shared" si="0"/>
        <v>Esteban Ocon</v>
      </c>
      <c r="BC15" s="44">
        <f t="shared" si="1"/>
        <v>3</v>
      </c>
      <c r="BD15" s="44">
        <f t="shared" si="2"/>
        <v>216</v>
      </c>
    </row>
    <row r="16" spans="1:56" ht="21.6" x14ac:dyDescent="0.4">
      <c r="A16" s="15" t="s">
        <v>86</v>
      </c>
      <c r="B16">
        <f>'Drivers'' Standings'!C16</f>
        <v>0</v>
      </c>
      <c r="C16">
        <f>B16+'Drivers'' Standings'!D16</f>
        <v>0</v>
      </c>
      <c r="D16">
        <f>C16+'Drivers'' Standings'!E16</f>
        <v>0</v>
      </c>
      <c r="E16">
        <f>D16+'Drivers'' Standings'!F16</f>
        <v>0</v>
      </c>
      <c r="F16">
        <f>E16+'Drivers'' Standings'!G16</f>
        <v>0</v>
      </c>
      <c r="G16">
        <f>F16+'Drivers'' Standings'!H16</f>
        <v>0</v>
      </c>
      <c r="H16">
        <f>G16+'Drivers'' Standings'!I16</f>
        <v>0</v>
      </c>
      <c r="I16">
        <f>H16+'Drivers'' Standings'!J16</f>
        <v>0</v>
      </c>
      <c r="J16">
        <f>I16+'Drivers'' Standings'!K16</f>
        <v>0</v>
      </c>
      <c r="K16">
        <f>J16+'Drivers'' Standings'!L16</f>
        <v>0</v>
      </c>
      <c r="L16">
        <f>K16+'Drivers'' Standings'!M16</f>
        <v>0</v>
      </c>
      <c r="M16">
        <f>L16+'Drivers'' Standings'!N16</f>
        <v>0</v>
      </c>
      <c r="N16">
        <f>M16+'Drivers'' Standings'!O16</f>
        <v>2</v>
      </c>
      <c r="O16">
        <f>N16+'Drivers'' Standings'!P16</f>
        <v>2</v>
      </c>
      <c r="P16">
        <f>O16+'Drivers'' Standings'!Q16</f>
        <v>2</v>
      </c>
      <c r="Q16">
        <f>P16+'Drivers'' Standings'!R16</f>
        <v>2</v>
      </c>
      <c r="R16">
        <f>Q16+'Drivers'' Standings'!S16</f>
        <v>2</v>
      </c>
      <c r="S16">
        <f>R16+'Drivers'' Standings'!T16</f>
        <v>2</v>
      </c>
      <c r="T16">
        <f>S16+'Drivers'' Standings'!U16</f>
        <v>2</v>
      </c>
      <c r="U16">
        <f>T16+'Drivers'' Standings'!V16</f>
        <v>2</v>
      </c>
      <c r="V16">
        <f>U16+'Drivers'' Standings'!W16</f>
        <v>2</v>
      </c>
      <c r="W16">
        <f>V16+'Drivers'' Standings'!X16</f>
        <v>2</v>
      </c>
      <c r="X16">
        <f>W16+'Drivers'' Standings'!Y16</f>
        <v>2</v>
      </c>
      <c r="Y16">
        <f>X16+'Drivers'' Standings'!Z16</f>
        <v>2</v>
      </c>
      <c r="BB16" s="44" t="str">
        <f t="shared" si="0"/>
        <v>Nico Hulkenberg</v>
      </c>
      <c r="BC16" s="44">
        <f t="shared" si="1"/>
        <v>2</v>
      </c>
      <c r="BD16" s="44">
        <f t="shared" si="2"/>
        <v>217</v>
      </c>
    </row>
    <row r="17" spans="1:56" ht="21.6" x14ac:dyDescent="0.4">
      <c r="A17" s="15" t="s">
        <v>87</v>
      </c>
      <c r="B17">
        <f>'Drivers'' Standings'!C17</f>
        <v>2</v>
      </c>
      <c r="C17">
        <f>B17+'Drivers'' Standings'!D17</f>
        <v>2</v>
      </c>
      <c r="D17">
        <f>C17+'Drivers'' Standings'!E17</f>
        <v>2</v>
      </c>
      <c r="E17">
        <f>D17+'Drivers'' Standings'!F17</f>
        <v>2</v>
      </c>
      <c r="F17">
        <f>E17+'Drivers'' Standings'!G17</f>
        <v>2</v>
      </c>
      <c r="G17">
        <f>F17+'Drivers'' Standings'!H17</f>
        <v>2</v>
      </c>
      <c r="H17">
        <f>G17+'Drivers'' Standings'!I17</f>
        <v>2</v>
      </c>
      <c r="I17">
        <f>H17+'Drivers'' Standings'!J17</f>
        <v>2</v>
      </c>
      <c r="J17">
        <f>I17+'Drivers'' Standings'!K17</f>
        <v>2</v>
      </c>
      <c r="K17">
        <f>J17+'Drivers'' Standings'!L17</f>
        <v>2</v>
      </c>
      <c r="L17">
        <f>K17+'Drivers'' Standings'!M17</f>
        <v>6</v>
      </c>
      <c r="M17">
        <f>L17+'Drivers'' Standings'!N17</f>
        <v>10</v>
      </c>
      <c r="N17">
        <f>M17+'Drivers'' Standings'!O17</f>
        <v>10</v>
      </c>
      <c r="O17">
        <f>N17+'Drivers'' Standings'!P17</f>
        <v>10</v>
      </c>
      <c r="P17">
        <f>O17+'Drivers'' Standings'!Q17</f>
        <v>10</v>
      </c>
      <c r="Q17">
        <f>P17+'Drivers'' Standings'!R17</f>
        <v>10</v>
      </c>
      <c r="R17">
        <f>Q17+'Drivers'' Standings'!S17</f>
        <v>10</v>
      </c>
      <c r="S17">
        <f>R17+'Drivers'' Standings'!T17</f>
        <v>10</v>
      </c>
      <c r="T17">
        <f>S17+'Drivers'' Standings'!U17</f>
        <v>10</v>
      </c>
      <c r="U17">
        <f>T17+'Drivers'' Standings'!V17</f>
        <v>10</v>
      </c>
      <c r="V17">
        <f>U17+'Drivers'' Standings'!W17</f>
        <v>10</v>
      </c>
      <c r="W17">
        <f>V17+'Drivers'' Standings'!X17</f>
        <v>10</v>
      </c>
      <c r="X17">
        <f>W17+'Drivers'' Standings'!Y17</f>
        <v>10</v>
      </c>
      <c r="Y17">
        <f>X17+'Drivers'' Standings'!Z17</f>
        <v>10</v>
      </c>
      <c r="BB17" s="44" t="str">
        <f t="shared" si="0"/>
        <v>Gabriel Bortoleto</v>
      </c>
      <c r="BC17" s="44">
        <f t="shared" si="1"/>
        <v>10</v>
      </c>
      <c r="BD17" s="44">
        <f t="shared" si="2"/>
        <v>209</v>
      </c>
    </row>
    <row r="18" spans="1:56" ht="21.6" x14ac:dyDescent="0.4">
      <c r="A18" s="16" t="s">
        <v>88</v>
      </c>
      <c r="B18">
        <f>'Drivers'' Standings'!C18</f>
        <v>0</v>
      </c>
      <c r="C18">
        <f>B18+'Drivers'' Standings'!D18</f>
        <v>0</v>
      </c>
      <c r="D18">
        <f>C18+'Drivers'' Standings'!E18</f>
        <v>0</v>
      </c>
      <c r="E18">
        <f>D18+'Drivers'' Standings'!F18</f>
        <v>0</v>
      </c>
      <c r="F18">
        <f>E18+'Drivers'' Standings'!G18</f>
        <v>0</v>
      </c>
      <c r="G18">
        <f>F18+'Drivers'' Standings'!H18</f>
        <v>1</v>
      </c>
      <c r="H18">
        <f>G18+'Drivers'' Standings'!I18</f>
        <v>1</v>
      </c>
      <c r="I18">
        <f>H18+'Drivers'' Standings'!J18</f>
        <v>5</v>
      </c>
      <c r="J18">
        <f>I18+'Drivers'' Standings'!K18</f>
        <v>5</v>
      </c>
      <c r="K18">
        <f>J18+'Drivers'' Standings'!L18</f>
        <v>5</v>
      </c>
      <c r="L18">
        <f>K18+'Drivers'' Standings'!M18</f>
        <v>5</v>
      </c>
      <c r="M18">
        <f>L18+'Drivers'' Standings'!N18</f>
        <v>5</v>
      </c>
      <c r="N18">
        <f>M18+'Drivers'' Standings'!O18</f>
        <v>5</v>
      </c>
      <c r="O18">
        <f>N18+'Drivers'' Standings'!P18</f>
        <v>5</v>
      </c>
      <c r="P18">
        <f>O18+'Drivers'' Standings'!Q18</f>
        <v>5</v>
      </c>
      <c r="Q18">
        <f>P18+'Drivers'' Standings'!R18</f>
        <v>5</v>
      </c>
      <c r="R18">
        <f>Q18+'Drivers'' Standings'!S18</f>
        <v>5</v>
      </c>
      <c r="S18">
        <f>R18+'Drivers'' Standings'!T18</f>
        <v>5</v>
      </c>
      <c r="T18">
        <f>S18+'Drivers'' Standings'!U18</f>
        <v>5</v>
      </c>
      <c r="U18">
        <f>T18+'Drivers'' Standings'!V18</f>
        <v>5</v>
      </c>
      <c r="V18">
        <f>U18+'Drivers'' Standings'!W18</f>
        <v>5</v>
      </c>
      <c r="W18">
        <f>V18+'Drivers'' Standings'!X18</f>
        <v>5</v>
      </c>
      <c r="X18">
        <f>W18+'Drivers'' Standings'!Y18</f>
        <v>5</v>
      </c>
      <c r="Y18">
        <f>X18+'Drivers'' Standings'!Z18</f>
        <v>5</v>
      </c>
      <c r="BB18" s="44" t="str">
        <f t="shared" si="0"/>
        <v>Alexander Albon</v>
      </c>
      <c r="BC18" s="44">
        <f t="shared" si="1"/>
        <v>5</v>
      </c>
      <c r="BD18" s="44">
        <f t="shared" si="2"/>
        <v>214</v>
      </c>
    </row>
    <row r="19" spans="1:56" ht="21.6" x14ac:dyDescent="0.4">
      <c r="A19" s="16" t="s">
        <v>89</v>
      </c>
      <c r="B19">
        <f>'Drivers'' Standings'!C19</f>
        <v>0</v>
      </c>
      <c r="C19">
        <f>B19+'Drivers'' Standings'!D19</f>
        <v>2</v>
      </c>
      <c r="D19">
        <f>C19+'Drivers'' Standings'!E19</f>
        <v>2</v>
      </c>
      <c r="E19">
        <f>D19+'Drivers'' Standings'!F19</f>
        <v>2</v>
      </c>
      <c r="F19">
        <f>E19+'Drivers'' Standings'!G19</f>
        <v>2</v>
      </c>
      <c r="G19">
        <f>F19+'Drivers'' Standings'!H19</f>
        <v>4</v>
      </c>
      <c r="H19">
        <f>G19+'Drivers'' Standings'!I19</f>
        <v>6</v>
      </c>
      <c r="I19">
        <f>H19+'Drivers'' Standings'!J19</f>
        <v>6</v>
      </c>
      <c r="J19">
        <f>I19+'Drivers'' Standings'!K19</f>
        <v>6</v>
      </c>
      <c r="K19">
        <f>J19+'Drivers'' Standings'!L19</f>
        <v>6</v>
      </c>
      <c r="L19">
        <f>K19+'Drivers'' Standings'!M19</f>
        <v>6</v>
      </c>
      <c r="M19">
        <f>L19+'Drivers'' Standings'!N19</f>
        <v>6</v>
      </c>
      <c r="N19">
        <f>M19+'Drivers'' Standings'!O19</f>
        <v>6</v>
      </c>
      <c r="O19">
        <f>N19+'Drivers'' Standings'!P19</f>
        <v>6</v>
      </c>
      <c r="P19">
        <f>O19+'Drivers'' Standings'!Q19</f>
        <v>6</v>
      </c>
      <c r="Q19">
        <f>P19+'Drivers'' Standings'!R19</f>
        <v>6</v>
      </c>
      <c r="R19">
        <f>Q19+'Drivers'' Standings'!S19</f>
        <v>6</v>
      </c>
      <c r="S19">
        <f>R19+'Drivers'' Standings'!T19</f>
        <v>6</v>
      </c>
      <c r="T19">
        <f>S19+'Drivers'' Standings'!U19</f>
        <v>6</v>
      </c>
      <c r="U19">
        <f>T19+'Drivers'' Standings'!V19</f>
        <v>6</v>
      </c>
      <c r="V19">
        <f>U19+'Drivers'' Standings'!W19</f>
        <v>6</v>
      </c>
      <c r="W19">
        <f>V19+'Drivers'' Standings'!X19</f>
        <v>6</v>
      </c>
      <c r="X19">
        <f>W19+'Drivers'' Standings'!Y19</f>
        <v>6</v>
      </c>
      <c r="Y19">
        <f>X19+'Drivers'' Standings'!Z19</f>
        <v>6</v>
      </c>
      <c r="BB19" s="44" t="str">
        <f t="shared" si="0"/>
        <v>Carlos Sainz</v>
      </c>
      <c r="BC19" s="44">
        <f t="shared" si="1"/>
        <v>6</v>
      </c>
      <c r="BD19" s="44">
        <f t="shared" si="2"/>
        <v>213</v>
      </c>
    </row>
    <row r="20" spans="1:56" ht="21.6" x14ac:dyDescent="0.4">
      <c r="A20" s="10" t="s">
        <v>90</v>
      </c>
      <c r="B20">
        <f>'Drivers'' Standings'!C20</f>
        <v>0</v>
      </c>
      <c r="C20">
        <f>B20+'Drivers'' Standings'!D20</f>
        <v>0</v>
      </c>
      <c r="D20">
        <f>C20+'Drivers'' Standings'!E20</f>
        <v>0</v>
      </c>
      <c r="E20">
        <f>D20+'Drivers'' Standings'!F20</f>
        <v>0</v>
      </c>
      <c r="F20">
        <f>E20+'Drivers'' Standings'!G20</f>
        <v>0</v>
      </c>
      <c r="G20">
        <f>F20+'Drivers'' Standings'!H20</f>
        <v>0</v>
      </c>
      <c r="H20">
        <f>G20+'Drivers'' Standings'!I20</f>
        <v>0</v>
      </c>
      <c r="I20">
        <f>H20+'Drivers'' Standings'!J20</f>
        <v>1</v>
      </c>
      <c r="J20">
        <f>I20+'Drivers'' Standings'!K20</f>
        <v>1</v>
      </c>
      <c r="K20">
        <f>J20+'Drivers'' Standings'!L20</f>
        <v>1</v>
      </c>
      <c r="L20">
        <f>K20+'Drivers'' Standings'!M20</f>
        <v>1</v>
      </c>
      <c r="M20">
        <f>L20+'Drivers'' Standings'!N20</f>
        <v>1</v>
      </c>
      <c r="N20">
        <f>M20+'Drivers'' Standings'!O20</f>
        <v>1</v>
      </c>
      <c r="O20">
        <f>N20+'Drivers'' Standings'!P20</f>
        <v>1</v>
      </c>
      <c r="P20">
        <f>O20+'Drivers'' Standings'!Q20</f>
        <v>1</v>
      </c>
      <c r="Q20">
        <f>P20+'Drivers'' Standings'!R20</f>
        <v>1</v>
      </c>
      <c r="R20">
        <f>Q20+'Drivers'' Standings'!S20</f>
        <v>1</v>
      </c>
      <c r="S20">
        <f>R20+'Drivers'' Standings'!T20</f>
        <v>1</v>
      </c>
      <c r="T20">
        <f>S20+'Drivers'' Standings'!U20</f>
        <v>1</v>
      </c>
      <c r="U20">
        <f>T20+'Drivers'' Standings'!V20</f>
        <v>1</v>
      </c>
      <c r="V20">
        <f>U20+'Drivers'' Standings'!W20</f>
        <v>1</v>
      </c>
      <c r="W20">
        <f>V20+'Drivers'' Standings'!X20</f>
        <v>1</v>
      </c>
      <c r="X20">
        <f>W20+'Drivers'' Standings'!Y20</f>
        <v>1</v>
      </c>
      <c r="Y20">
        <f>X20+'Drivers'' Standings'!Z20</f>
        <v>1</v>
      </c>
      <c r="BB20" s="44" t="str">
        <f t="shared" si="0"/>
        <v>Fernando Alonso</v>
      </c>
      <c r="BC20" s="44">
        <f t="shared" si="1"/>
        <v>1</v>
      </c>
      <c r="BD20" s="44">
        <f t="shared" si="2"/>
        <v>218</v>
      </c>
    </row>
    <row r="21" spans="1:56" ht="21.6" x14ac:dyDescent="0.4">
      <c r="A21" s="10" t="s">
        <v>91</v>
      </c>
      <c r="B21">
        <f>'Drivers'' Standings'!C21</f>
        <v>0</v>
      </c>
      <c r="C21">
        <f>B21+'Drivers'' Standings'!D21</f>
        <v>0</v>
      </c>
      <c r="D21">
        <f>C21+'Drivers'' Standings'!E21</f>
        <v>0</v>
      </c>
      <c r="E21">
        <f>D21+'Drivers'' Standings'!F21</f>
        <v>0</v>
      </c>
      <c r="F21">
        <f>E21+'Drivers'' Standings'!G21</f>
        <v>0</v>
      </c>
      <c r="G21">
        <f>F21+'Drivers'' Standings'!H21</f>
        <v>0</v>
      </c>
      <c r="H21">
        <f>G21+'Drivers'' Standings'!I21</f>
        <v>0</v>
      </c>
      <c r="I21">
        <f>H21+'Drivers'' Standings'!J21</f>
        <v>0</v>
      </c>
      <c r="J21">
        <f>I21+'Drivers'' Standings'!K21</f>
        <v>0</v>
      </c>
      <c r="K21">
        <f>J21+'Drivers'' Standings'!L21</f>
        <v>0</v>
      </c>
      <c r="L21">
        <f>K21+'Drivers'' Standings'!M21</f>
        <v>0</v>
      </c>
      <c r="M21">
        <f>L21+'Drivers'' Standings'!N21</f>
        <v>0</v>
      </c>
      <c r="N21">
        <f>M21+'Drivers'' Standings'!O21</f>
        <v>0</v>
      </c>
      <c r="O21">
        <f>N21+'Drivers'' Standings'!P21</f>
        <v>0</v>
      </c>
      <c r="P21">
        <f>O21+'Drivers'' Standings'!Q21</f>
        <v>0</v>
      </c>
      <c r="Q21">
        <f>P21+'Drivers'' Standings'!R21</f>
        <v>0</v>
      </c>
      <c r="R21">
        <f>Q21+'Drivers'' Standings'!S21</f>
        <v>0</v>
      </c>
      <c r="S21">
        <f>R21+'Drivers'' Standings'!T21</f>
        <v>0</v>
      </c>
      <c r="T21">
        <f>S21+'Drivers'' Standings'!U21</f>
        <v>0</v>
      </c>
      <c r="U21">
        <f>T21+'Drivers'' Standings'!V21</f>
        <v>0</v>
      </c>
      <c r="V21">
        <f>U21+'Drivers'' Standings'!W21</f>
        <v>0</v>
      </c>
      <c r="W21">
        <f>V21+'Drivers'' Standings'!X21</f>
        <v>0</v>
      </c>
      <c r="X21">
        <f>W21+'Drivers'' Standings'!Y21</f>
        <v>0</v>
      </c>
      <c r="Y21">
        <f>X21+'Drivers'' Standings'!Z21</f>
        <v>0</v>
      </c>
      <c r="BB21" s="44" t="str">
        <f t="shared" si="0"/>
        <v>Lance Stroll</v>
      </c>
      <c r="BC21" s="44">
        <f t="shared" si="1"/>
        <v>0</v>
      </c>
      <c r="BD21" s="44">
        <f t="shared" si="2"/>
        <v>219</v>
      </c>
    </row>
    <row r="22" spans="1:56" ht="21.6" x14ac:dyDescent="0.4">
      <c r="A22" s="19" t="s">
        <v>92</v>
      </c>
      <c r="B22">
        <f>'Drivers'' Standings'!C22</f>
        <v>0</v>
      </c>
      <c r="C22">
        <f>B22+'Drivers'' Standings'!D22</f>
        <v>0</v>
      </c>
      <c r="D22">
        <f>C22+'Drivers'' Standings'!E22</f>
        <v>0</v>
      </c>
      <c r="E22">
        <f>D22+'Drivers'' Standings'!F22</f>
        <v>0</v>
      </c>
      <c r="F22">
        <f>E22+'Drivers'' Standings'!G22</f>
        <v>0</v>
      </c>
      <c r="G22">
        <f>F22+'Drivers'' Standings'!H22</f>
        <v>0</v>
      </c>
      <c r="H22">
        <f>G22+'Drivers'' Standings'!I22</f>
        <v>0</v>
      </c>
      <c r="I22">
        <f>H22+'Drivers'' Standings'!J22</f>
        <v>0</v>
      </c>
      <c r="J22">
        <f>I22+'Drivers'' Standings'!K22</f>
        <v>0</v>
      </c>
      <c r="K22">
        <f>J22+'Drivers'' Standings'!L22</f>
        <v>0</v>
      </c>
      <c r="L22">
        <f>K22+'Drivers'' Standings'!M22</f>
        <v>0</v>
      </c>
      <c r="M22">
        <f>L22+'Drivers'' Standings'!N22</f>
        <v>0</v>
      </c>
      <c r="N22">
        <f>M22+'Drivers'' Standings'!O22</f>
        <v>0</v>
      </c>
      <c r="O22">
        <f>N22+'Drivers'' Standings'!P22</f>
        <v>0</v>
      </c>
      <c r="P22">
        <f>O22+'Drivers'' Standings'!Q22</f>
        <v>0</v>
      </c>
      <c r="Q22">
        <f>P22+'Drivers'' Standings'!R22</f>
        <v>0</v>
      </c>
      <c r="R22">
        <f>Q22+'Drivers'' Standings'!S22</f>
        <v>0</v>
      </c>
      <c r="S22">
        <f>R22+'Drivers'' Standings'!T22</f>
        <v>0</v>
      </c>
      <c r="T22">
        <f>S22+'Drivers'' Standings'!U22</f>
        <v>0</v>
      </c>
      <c r="U22">
        <f>T22+'Drivers'' Standings'!V22</f>
        <v>0</v>
      </c>
      <c r="V22">
        <f>U22+'Drivers'' Standings'!W22</f>
        <v>0</v>
      </c>
      <c r="W22">
        <f>V22+'Drivers'' Standings'!X22</f>
        <v>0</v>
      </c>
      <c r="X22">
        <f>W22+'Drivers'' Standings'!Y22</f>
        <v>0</v>
      </c>
      <c r="Y22">
        <f>X22+'Drivers'' Standings'!Z22</f>
        <v>0</v>
      </c>
      <c r="BB22" s="44" t="str">
        <f t="shared" si="0"/>
        <v>Sergio Perez</v>
      </c>
      <c r="BC22" s="44">
        <f t="shared" si="1"/>
        <v>0</v>
      </c>
      <c r="BD22" s="44">
        <f t="shared" si="2"/>
        <v>219</v>
      </c>
    </row>
    <row r="23" spans="1:56" ht="21.6" x14ac:dyDescent="0.4">
      <c r="A23" s="19" t="s">
        <v>93</v>
      </c>
      <c r="B23">
        <f>'Drivers'' Standings'!C23</f>
        <v>0</v>
      </c>
      <c r="C23">
        <f>B23+'Drivers'' Standings'!D23</f>
        <v>0</v>
      </c>
      <c r="D23">
        <f>C23+'Drivers'' Standings'!E23</f>
        <v>0</v>
      </c>
      <c r="E23">
        <f>D23+'Drivers'' Standings'!F23</f>
        <v>0</v>
      </c>
      <c r="F23">
        <f>E23+'Drivers'' Standings'!G23</f>
        <v>0</v>
      </c>
      <c r="G23">
        <f>F23+'Drivers'' Standings'!H23</f>
        <v>0</v>
      </c>
      <c r="H23">
        <f>G23+'Drivers'' Standings'!I23</f>
        <v>0</v>
      </c>
      <c r="I23">
        <f>H23+'Drivers'' Standings'!J23</f>
        <v>0</v>
      </c>
      <c r="J23">
        <f>I23+'Drivers'' Standings'!K23</f>
        <v>0</v>
      </c>
      <c r="K23">
        <f>J23+'Drivers'' Standings'!L23</f>
        <v>0</v>
      </c>
      <c r="L23">
        <f>K23+'Drivers'' Standings'!M23</f>
        <v>0</v>
      </c>
      <c r="M23">
        <f>L23+'Drivers'' Standings'!N23</f>
        <v>0</v>
      </c>
      <c r="N23">
        <f>M23+'Drivers'' Standings'!O23</f>
        <v>0</v>
      </c>
      <c r="O23">
        <f>N23+'Drivers'' Standings'!P23</f>
        <v>0</v>
      </c>
      <c r="P23">
        <f>O23+'Drivers'' Standings'!Q23</f>
        <v>0</v>
      </c>
      <c r="Q23">
        <f>P23+'Drivers'' Standings'!R23</f>
        <v>0</v>
      </c>
      <c r="R23">
        <f>Q23+'Drivers'' Standings'!S23</f>
        <v>0</v>
      </c>
      <c r="S23">
        <f>R23+'Drivers'' Standings'!T23</f>
        <v>0</v>
      </c>
      <c r="T23">
        <f>S23+'Drivers'' Standings'!U23</f>
        <v>0</v>
      </c>
      <c r="U23">
        <f>T23+'Drivers'' Standings'!V23</f>
        <v>0</v>
      </c>
      <c r="V23">
        <f>U23+'Drivers'' Standings'!W23</f>
        <v>0</v>
      </c>
      <c r="W23">
        <f>V23+'Drivers'' Standings'!X23</f>
        <v>0</v>
      </c>
      <c r="X23">
        <f>W23+'Drivers'' Standings'!Y23</f>
        <v>0</v>
      </c>
      <c r="Y23">
        <f>X23+'Drivers'' Standings'!Z23</f>
        <v>0</v>
      </c>
      <c r="BB23" s="44" t="str">
        <f t="shared" si="0"/>
        <v>Valtteri Bottas</v>
      </c>
      <c r="BC23" s="44">
        <f t="shared" si="1"/>
        <v>0</v>
      </c>
      <c r="BD23" s="44">
        <f t="shared" si="2"/>
        <v>219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BF846B7-B8A1-4516-8F30-8DBD8C1532CF}">
          <x14:formula1>
            <xm:f>'Drivers'' Standings'!$A$2:$A$23</xm:f>
          </x14:formula1>
          <xm:sqref>AB2:AF2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0C9FC-E4D6-42E3-A281-9BF98A71E8C8}">
  <sheetPr>
    <tabColor rgb="FF00B050"/>
  </sheetPr>
  <dimension ref="A1:E13"/>
  <sheetViews>
    <sheetView workbookViewId="0">
      <selection activeCell="J22" sqref="J22"/>
    </sheetView>
  </sheetViews>
  <sheetFormatPr defaultRowHeight="14.4" x14ac:dyDescent="0.3"/>
  <cols>
    <col min="4" max="4" width="9.33203125" customWidth="1"/>
  </cols>
  <sheetData>
    <row r="1" spans="1:5" x14ac:dyDescent="0.3">
      <c r="A1" t="s">
        <v>15</v>
      </c>
      <c r="B1" t="s">
        <v>3</v>
      </c>
      <c r="D1" s="18" t="s">
        <v>71</v>
      </c>
      <c r="E1" s="18" t="s">
        <v>3</v>
      </c>
    </row>
    <row r="2" spans="1:5" x14ac:dyDescent="0.3">
      <c r="A2" s="18">
        <v>1</v>
      </c>
      <c r="B2" s="18">
        <v>25</v>
      </c>
      <c r="D2" s="18">
        <v>1</v>
      </c>
      <c r="E2" s="18">
        <v>8</v>
      </c>
    </row>
    <row r="3" spans="1:5" x14ac:dyDescent="0.3">
      <c r="A3" s="18">
        <v>2</v>
      </c>
      <c r="B3" s="18">
        <v>18</v>
      </c>
      <c r="D3" s="18">
        <v>2</v>
      </c>
      <c r="E3" s="18">
        <v>7</v>
      </c>
    </row>
    <row r="4" spans="1:5" x14ac:dyDescent="0.3">
      <c r="A4" s="18">
        <v>3</v>
      </c>
      <c r="B4" s="18">
        <v>15</v>
      </c>
      <c r="D4" s="18">
        <v>3</v>
      </c>
      <c r="E4" s="18">
        <v>6</v>
      </c>
    </row>
    <row r="5" spans="1:5" x14ac:dyDescent="0.3">
      <c r="A5" s="18">
        <v>4</v>
      </c>
      <c r="B5" s="18">
        <v>12</v>
      </c>
      <c r="D5" s="18">
        <v>4</v>
      </c>
      <c r="E5" s="18">
        <v>5</v>
      </c>
    </row>
    <row r="6" spans="1:5" x14ac:dyDescent="0.3">
      <c r="A6" s="18">
        <v>5</v>
      </c>
      <c r="B6" s="18">
        <v>10</v>
      </c>
      <c r="D6" s="18">
        <v>5</v>
      </c>
      <c r="E6" s="18">
        <v>4</v>
      </c>
    </row>
    <row r="7" spans="1:5" x14ac:dyDescent="0.3">
      <c r="A7" s="18">
        <v>6</v>
      </c>
      <c r="B7" s="18">
        <v>8</v>
      </c>
      <c r="D7" s="18">
        <v>6</v>
      </c>
      <c r="E7" s="18">
        <v>3</v>
      </c>
    </row>
    <row r="8" spans="1:5" x14ac:dyDescent="0.3">
      <c r="A8" s="18">
        <v>7</v>
      </c>
      <c r="B8" s="18">
        <v>6</v>
      </c>
      <c r="D8" s="18">
        <v>7</v>
      </c>
      <c r="E8" s="18">
        <v>2</v>
      </c>
    </row>
    <row r="9" spans="1:5" x14ac:dyDescent="0.3">
      <c r="A9" s="18">
        <v>8</v>
      </c>
      <c r="B9" s="18">
        <v>4</v>
      </c>
      <c r="D9" s="18">
        <v>8</v>
      </c>
      <c r="E9" s="18">
        <v>1</v>
      </c>
    </row>
    <row r="10" spans="1:5" x14ac:dyDescent="0.3">
      <c r="A10" s="18">
        <v>9</v>
      </c>
      <c r="B10" s="18">
        <v>2</v>
      </c>
      <c r="D10" s="18" t="s">
        <v>72</v>
      </c>
      <c r="E10" s="18">
        <v>0</v>
      </c>
    </row>
    <row r="11" spans="1:5" x14ac:dyDescent="0.3">
      <c r="A11" s="18">
        <v>10</v>
      </c>
      <c r="B11" s="18">
        <v>1</v>
      </c>
      <c r="D11" s="59" t="s">
        <v>98</v>
      </c>
      <c r="E11" s="60"/>
    </row>
    <row r="12" spans="1:5" x14ac:dyDescent="0.3">
      <c r="A12" s="18" t="s">
        <v>65</v>
      </c>
      <c r="B12" s="18">
        <v>0</v>
      </c>
    </row>
    <row r="13" spans="1:5" x14ac:dyDescent="0.3">
      <c r="A13" s="59" t="s">
        <v>97</v>
      </c>
      <c r="B13" s="59"/>
    </row>
  </sheetData>
  <mergeCells count="2">
    <mergeCell ref="A13:B13"/>
    <mergeCell ref="D11:E11"/>
  </mergeCells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0C7A6D1-9FBE-4EFF-AC01-9E399CC4781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Main Page</vt:lpstr>
      <vt:lpstr>Drivers' Standings</vt:lpstr>
      <vt:lpstr>Constructors Standings</vt:lpstr>
      <vt:lpstr>Race Resuts</vt:lpstr>
      <vt:lpstr>Sprint Race Results</vt:lpstr>
      <vt:lpstr>Dashboard Data</vt:lpstr>
      <vt:lpstr>Points Refrence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•</dc:creator>
  <cp:lastModifiedBy>Emmanuel •</cp:lastModifiedBy>
  <dcterms:created xsi:type="dcterms:W3CDTF">2026-07-06T13:39:21Z</dcterms:created>
  <dcterms:modified xsi:type="dcterms:W3CDTF">2026-07-26T19:25:38Z</dcterms:modified>
</cp:coreProperties>
</file>